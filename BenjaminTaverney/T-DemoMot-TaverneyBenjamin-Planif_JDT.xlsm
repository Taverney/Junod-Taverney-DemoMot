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DemoMot\"/>
    </mc:Choice>
  </mc:AlternateContent>
  <xr:revisionPtr revIDLastSave="0" documentId="13_ncr:1_{E93109D4-FBDA-4682-A598-947CE3FE2AE3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7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Planning!$A$1:$D$11</definedName>
    <definedName name="objPlanifWeek">PlanificationWeek!$A$1:$D$14</definedName>
    <definedName name="objRealizedWeek" localSheetId="4">achievementWeek!$A$1:$D$19</definedName>
    <definedName name="objRealizedWeek" localSheetId="6">JNLTRAV!$A$1:$D$44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" i="157" l="1"/>
  <c r="B28" i="157"/>
  <c r="B20" i="157"/>
  <c r="B10" i="157"/>
  <c r="D1" i="156"/>
  <c r="D45" i="156" s="1"/>
  <c r="D83" i="156" s="1"/>
  <c r="D122" i="156" s="1"/>
  <c r="B139" i="156"/>
  <c r="B120" i="156"/>
  <c r="B81" i="156"/>
  <c r="B43" i="156"/>
  <c r="B18" i="154"/>
  <c r="B13" i="11" l="1"/>
</calcChain>
</file>

<file path=xl/sharedStrings.xml><?xml version="1.0" encoding="utf-8"?>
<sst xmlns="http://schemas.openxmlformats.org/spreadsheetml/2006/main" count="351" uniqueCount="167">
  <si>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</si>
  <si>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</si>
  <si>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</si>
  <si>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</si>
  <si>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</si>
  <si>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</si>
  <si>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</si>
  <si>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</si>
  <si>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</si>
  <si>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</si>
  <si>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</si>
  <si>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</si>
  <si>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</si>
  <si>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</si>
  <si>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</si>
  <si>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</si>
  <si>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</si>
  <si>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</si>
  <si>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</si>
  <si>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</si>
  <si>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</si>
  <si>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</si>
  <si>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</si>
  <si>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</si>
  <si>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DemoMot</t>
  </si>
  <si>
    <t>Benjamin Taverney</t>
  </si>
  <si>
    <t>MIN1B</t>
  </si>
  <si>
    <t>ETML - Vennes</t>
  </si>
  <si>
    <t>STOP</t>
  </si>
  <si>
    <t>Max. 84</t>
  </si>
  <si>
    <t>Rédaction du CdC</t>
  </si>
  <si>
    <t>Validation du cahier des charges par M. Charmier</t>
  </si>
  <si>
    <t>Modification du CdC selon les demandes de M. Charmier</t>
  </si>
  <si>
    <t>Réflexion autours du projet que je vais effectuer les prochaines semaines</t>
  </si>
  <si>
    <t>Introduction par MM Charmier et Benfares</t>
  </si>
  <si>
    <t>Maquette de la page d'accueil</t>
  </si>
  <si>
    <t>Maquette de la page "Pâtisseries"</t>
  </si>
  <si>
    <t>Recherche de projet</t>
  </si>
  <si>
    <t>Réalisation de la maquette</t>
  </si>
  <si>
    <t>Etude du contenu et des pages existants</t>
  </si>
  <si>
    <t>Codage du HTML</t>
  </si>
  <si>
    <t>Gérance du repo GitHub</t>
  </si>
  <si>
    <t>Codage du CSS</t>
  </si>
  <si>
    <t>Réalisation de la planification</t>
  </si>
  <si>
    <t>Rédaction et validation du CdC</t>
  </si>
  <si>
    <t>Création et mise à jour du repo</t>
  </si>
  <si>
    <t>Découpage des différentes tâches et planification pour les 4 semaines de projet</t>
  </si>
  <si>
    <t>Réalisation de la maquette des pages du site sur papier</t>
  </si>
  <si>
    <t>Début du code HTML</t>
  </si>
  <si>
    <t>Améliorations, résolution de bugs dans le code HTML</t>
  </si>
  <si>
    <t>Début du code CSS</t>
  </si>
  <si>
    <t>Mise en place du système de commandes</t>
  </si>
  <si>
    <t>Renseignement</t>
  </si>
  <si>
    <t>Finitions du site</t>
  </si>
  <si>
    <t>Dernières finitions, améliorations du site</t>
  </si>
  <si>
    <t>Mise à jour du repo GitHub</t>
  </si>
  <si>
    <t>Vérification du site</t>
  </si>
  <si>
    <t>Vérification du code source du site grâce aux validateurs HTML et CSS du site W3C</t>
  </si>
  <si>
    <t>Réalisation de la présentation</t>
  </si>
  <si>
    <t>Réalisation de la présentation pour montrer mon travail réalisé durant DemoMot</t>
  </si>
  <si>
    <t>Présentation</t>
  </si>
  <si>
    <t>Présentation de mon projet</t>
  </si>
  <si>
    <t>Ecoute des autres présentations</t>
  </si>
  <si>
    <t>Organisation</t>
  </si>
  <si>
    <t>Je travaille désormais en binôme avec Jonathan sur ce projet, répartition des tâches</t>
  </si>
  <si>
    <t>Fin de la réalisation de la maquette</t>
  </si>
  <si>
    <t>Ajout de Jonathan en tant que collaborateur à mon repo et ajout du CdC et de la maquette</t>
  </si>
  <si>
    <t>Discussion avec M. Charmier concernant la mise en place des commandes</t>
  </si>
  <si>
    <t>Codage du HTML des pages "Contact" et "Partenaires"</t>
  </si>
  <si>
    <t>Codage du HTML de la page Payement et ajustement de petits détails sur toutes les pages</t>
  </si>
  <si>
    <t>Codage du HTML pour les pages "Panier", "Connexion" et "Inscription"</t>
  </si>
  <si>
    <t>Mise à jour des fichiers HTML dans le repo</t>
  </si>
  <si>
    <t>Présentation de M. Schaffter</t>
  </si>
  <si>
    <t>Recherches sur comment faire en sorte que le mot de passe ne s'affiche pas dans l'URL de la page. Il faut utiliser "method="post""</t>
  </si>
  <si>
    <t>Mise à jour des fichiers dans le repo</t>
  </si>
  <si>
    <t>Création d'un nouveau logo à l'aide de Canva</t>
  </si>
  <si>
    <t>Codage du CSS général du site</t>
  </si>
  <si>
    <t>Jeudi (27)</t>
  </si>
  <si>
    <t>Mardi (24)</t>
  </si>
  <si>
    <t>Lundi (21)</t>
  </si>
  <si>
    <t>Codage du HTML de la page "Evénements"</t>
  </si>
  <si>
    <t>Codage du CSS général pour qu'il soit responsive</t>
  </si>
  <si>
    <t xml:space="preserve">Codage du CSS de la page Evénements </t>
  </si>
  <si>
    <t>Recherches</t>
  </si>
  <si>
    <t>Recherches (infructueuses) sur comment aggrandir une image lorsque l'on clique dessus</t>
  </si>
  <si>
    <t>Bilan</t>
  </si>
  <si>
    <t>Vendredi (12)</t>
  </si>
  <si>
    <t>Bilan de l'état actuel du projet avec mon binôme, Jonathan pour voir ce qui a déjà été fait et pour se répartir le travail</t>
  </si>
  <si>
    <t>Ajout d'un "projet" sur le repo Git afin d'avoir un aperçu des tâches à faire, en cours et faites et suivre la proggression</t>
  </si>
  <si>
    <t>Aide à un collègue</t>
  </si>
  <si>
    <t>Aide à un collègue pour sa plannification</t>
  </si>
  <si>
    <t>Ajout d'une bordure à toutes les images ayant la classe "imgborder" dans le CSS général</t>
  </si>
  <si>
    <t>Suppression de la classe "vert" aux liens dans le footer + ajout d'une classe aux images qui à fond blanc qui doivent avoir une bordure</t>
  </si>
  <si>
    <t>Codage du CSS de la page Contact</t>
  </si>
  <si>
    <t>Amélioration du CSS de la page de contact</t>
  </si>
  <si>
    <t>Recherche d'images</t>
  </si>
  <si>
    <t>Recherche des logos des partenaires</t>
  </si>
  <si>
    <t>Codage du CSS de la page "Partenaires" (responsive aussi !)</t>
  </si>
  <si>
    <t>Mise à jour du Backlog sur GitHub</t>
  </si>
  <si>
    <t>Codage du CSS des pages Connexion et Inscription</t>
  </si>
  <si>
    <t>Validation des codes CSS grâce à l'outil W3C (Jonathan s'est occupé de vérifier la pages HTML)</t>
  </si>
  <si>
    <t>https://jigsaw.w3.org/css-validator/validator</t>
  </si>
  <si>
    <t>Amélioration de la page Contact</t>
  </si>
  <si>
    <t>Recherche d'un moyen pour que le footer soit tout en bas de la page lorsqu'il y a peu de contenu</t>
  </si>
  <si>
    <t>Rédaction du JDT</t>
  </si>
  <si>
    <t>https://developer.mozilla.org/en-US/docs/Web/CSS/Layout_cookbook/Sticky_footers</t>
  </si>
  <si>
    <t>Daily Scrum avec M. Schaffter et toute la classe</t>
  </si>
  <si>
    <t>Résolution du bug qui mettait le lien en dessous du logo et donc n'était plus centré verticalement dans le header</t>
  </si>
  <si>
    <t>Amélioration du CSS de la page Pâtisseries</t>
  </si>
  <si>
    <t>Mise à jour du repo</t>
  </si>
  <si>
    <t>Amélioration du CSS général</t>
  </si>
  <si>
    <t>Aide à Jonathan pour le java script et trouver des phrases pour le générateur d'idées</t>
  </si>
  <si>
    <t>Discussion avec Kilian pour savoir comment agrandir une image lorsque l'on clique dessus</t>
  </si>
  <si>
    <t>Codage du CSS de la page "Panier"</t>
  </si>
  <si>
    <t>Congé 1 période plus tôt : réunion de profs</t>
  </si>
  <si>
    <t>Bilan avec Jonathan --&gt; Répartition du travail pour l'après-midi</t>
  </si>
  <si>
    <t>Présentation de l'état actuel du projet à M. Charmier</t>
  </si>
  <si>
    <t>Codage du CSS de la page "Panier" pour le rendre responsive</t>
  </si>
  <si>
    <t>Max. 57</t>
  </si>
  <si>
    <t>Max. 72</t>
  </si>
  <si>
    <t>Max. 63</t>
  </si>
  <si>
    <t>Apéro avec les élèves et enseignants</t>
  </si>
  <si>
    <t>Mercredi (24)</t>
  </si>
  <si>
    <t>Rangements</t>
  </si>
  <si>
    <t>Rangements / nettoyages dans la classe</t>
  </si>
  <si>
    <t>Recherche d'améliorations possibles sur le site et modifications en conséquence</t>
  </si>
  <si>
    <t>Réctification de la planification : Le nombre de 1/4 d'heure chaque semaine n'était pas correct</t>
  </si>
  <si>
    <t>Coupure de courant</t>
  </si>
  <si>
    <t>Ajout des textes alternatifs pour les images de la page Evénements</t>
  </si>
  <si>
    <t>Codage du CSS pour la page "Payement" et amélioration du footer</t>
  </si>
  <si>
    <t xml:space="preserve">Gérance du repo GitHub </t>
  </si>
  <si>
    <t>Mise à jour du repo + résolution de bug (perte de données) sur GitHub</t>
  </si>
  <si>
    <t>Changement de la teinte du logo pour plus correspondre au reste du site</t>
  </si>
  <si>
    <t>Réalisation de la page "Site de base" de la présentation</t>
  </si>
  <si>
    <t>Réalisation de la page "Outils utilisés"</t>
  </si>
  <si>
    <t>Ajustements esthétiques</t>
  </si>
  <si>
    <t>Jeudi (24)</t>
  </si>
  <si>
    <t>Daily Scrum avec M. Schaffter</t>
  </si>
  <si>
    <t>Observations des projets de mes camarades pour leur donner mon avis et mes remarques</t>
  </si>
  <si>
    <t>Réalisation de la page Solutions et ajustements dans la page Problèmes</t>
  </si>
  <si>
    <t>Ajustements esthétiques sur la page de la contribution de Jonathan</t>
  </si>
  <si>
    <t>Réalisation de la page sur ma contribution</t>
  </si>
  <si>
    <t>Discussion avec mon binôme</t>
  </si>
  <si>
    <t>Corrections</t>
  </si>
  <si>
    <t>Corrections de fautes de frappe dans les pages HTML</t>
  </si>
  <si>
    <t>Ajustements pour que le footer soit tout le temps en bas de la page même s'il y a peu de contenu</t>
  </si>
  <si>
    <t>Ajout du lien vers la page mariages.net de Guillome Fe dans la page de contact</t>
  </si>
  <si>
    <t>Vendredi (24)</t>
  </si>
  <si>
    <t>Mise à jour du repo sur GitHub</t>
  </si>
  <si>
    <t>Modification du HTML des pages Connexion et Inscription afin que le mot de passe ne s'affiche pas dans l'URL</t>
  </si>
  <si>
    <t>Recherches et mise en place d'un moyen pour récupérer les éléments du formlaire de contact et de les envoyer par mail</t>
  </si>
  <si>
    <t>Corrections de fautes de frappe</t>
  </si>
  <si>
    <t>Discussion avec Jonathan afin de valider son travail (JS + animation d'ouverture du site)</t>
  </si>
  <si>
    <t>Discussion avec Jonathan pour regarder l'amélioration des pages que j'ai codées avec lui</t>
  </si>
  <si>
    <t>Ajout de commentaires dans les pages CSS + modifications mineures de la présentation du code</t>
  </si>
  <si>
    <t>Explications</t>
  </si>
  <si>
    <t>Recherches sur comment mettre en place le système de commandes</t>
  </si>
  <si>
    <t>Etude de l'existant : Renseignements sur les pages et contenus déjà présents</t>
  </si>
  <si>
    <t>Autres</t>
  </si>
  <si>
    <t>Aide à Jonathan pour le Java Script</t>
  </si>
  <si>
    <t>Amélioration de la page Pâtisseries : Résolution du bug qui rajoute quelques pixels de marge en dessous de l'image du gâteau aux fraises à cause du lien vers la page Spécificités</t>
  </si>
  <si>
    <t>Analyse sur les modifications de Jonathan sur mes pages</t>
  </si>
  <si>
    <t>Ajout de phrases dans le générateur d'idées de la page d'accueil avec Jonathan</t>
  </si>
  <si>
    <t>Amélioration de la présentation : nouveaux screenshots</t>
  </si>
  <si>
    <t>Bilan du travail effectué et du travail à effectuer avec Jonathan</t>
  </si>
  <si>
    <t>Ajout des tâches dans la page "Données" --&gt; modifications dans la planification et dans le journal de travail pou rreprendre ces tâches</t>
  </si>
  <si>
    <t>Le contenu de la cellule a été perdu, désolé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</si>
</sst>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i/>
      <sz val="1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0" fillId="9" borderId="0" xfId="0" applyFill="1" applyAlignment="1" applyProtection="1">
      <alignment horizontal="center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Fill="1" applyBorder="1" applyAlignment="1" applyProtection="1">
      <alignment horizontal="center" vertical="center" wrapText="1"/>
      <protection locked="0"/>
    </xf>
    <xf numFmtId="0" fontId="0" fillId="0" borderId="34" xfId="0" applyFont="1" applyFill="1" applyBorder="1" applyAlignment="1" applyProtection="1">
      <alignment horizontal="left" vertical="top" wrapText="1"/>
      <protection locked="0"/>
    </xf>
    <xf numFmtId="0" fontId="8" fillId="0" borderId="34" xfId="0" applyFont="1" applyFill="1" applyBorder="1" applyAlignment="1" applyProtection="1">
      <alignment horizontal="left" vertical="top" wrapText="1"/>
      <protection locked="0"/>
    </xf>
    <xf numFmtId="0" fontId="9" fillId="0" borderId="15" xfId="1" applyFont="1" applyFill="1" applyBorder="1" applyAlignment="1" applyProtection="1">
      <alignment horizontal="center" vertical="center" wrapText="1"/>
      <protection locked="0"/>
    </xf>
    <xf numFmtId="0" fontId="8" fillId="0" borderId="15" xfId="0" applyFont="1" applyFill="1" applyBorder="1" applyAlignment="1" applyProtection="1">
      <alignment horizontal="center" vertical="center" wrapText="1"/>
      <protection locked="0"/>
    </xf>
    <xf numFmtId="0" fontId="0" fillId="0" borderId="15" xfId="0" applyFont="1" applyFill="1" applyBorder="1" applyAlignment="1" applyProtection="1">
      <alignment horizontal="left" vertical="top" wrapText="1"/>
      <protection locked="0"/>
    </xf>
    <xf numFmtId="0" fontId="8" fillId="0" borderId="15" xfId="0" applyFont="1" applyFill="1" applyBorder="1" applyAlignment="1" applyProtection="1">
      <alignment horizontal="left" vertical="top" wrapText="1"/>
      <protection locked="0"/>
    </xf>
    <xf numFmtId="0" fontId="8" fillId="0" borderId="33" xfId="1" applyFont="1" applyFill="1" applyBorder="1" applyAlignment="1" applyProtection="1">
      <alignment horizontal="center" vertical="center" wrapText="1"/>
      <protection locked="0"/>
    </xf>
    <xf numFmtId="0" fontId="0" fillId="0" borderId="34" xfId="1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5" xfId="0" applyFont="1" applyFill="1" applyBorder="1" applyAlignment="1" applyProtection="1">
      <alignment horizontal="center" vertical="center" wrapText="1"/>
      <protection locked="0"/>
    </xf>
    <xf numFmtId="0" fontId="8" fillId="0" borderId="35" xfId="0" applyFont="1" applyFill="1" applyBorder="1" applyAlignment="1" applyProtection="1">
      <alignment horizontal="left" vertical="top" wrapText="1"/>
      <protection locked="0"/>
    </xf>
    <xf numFmtId="0" fontId="9" fillId="0" borderId="15" xfId="0" applyFont="1" applyFill="1" applyBorder="1" applyAlignment="1" applyProtection="1">
      <alignment horizontal="center" vertical="center" wrapText="1"/>
      <protection locked="0"/>
    </xf>
    <xf numFmtId="0" fontId="9" fillId="0" borderId="15" xfId="0" applyFont="1" applyFill="1" applyBorder="1" applyAlignment="1" applyProtection="1">
      <alignment horizontal="left" vertical="top" wrapText="1"/>
      <protection locked="0"/>
    </xf>
    <xf numFmtId="0" fontId="0" fillId="0" borderId="35" xfId="0" applyFont="1" applyFill="1" applyBorder="1" applyAlignment="1" applyProtection="1">
      <alignment horizontal="center" vertical="center" wrapText="1"/>
      <protection locked="0"/>
    </xf>
    <xf numFmtId="0" fontId="0" fillId="0" borderId="35" xfId="0" applyFont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0" fillId="0" borderId="34" xfId="0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17" fillId="0" borderId="33" xfId="0" applyFont="1" applyFill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45810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45832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5" t="s">
        <v>19</v>
      </c>
      <c r="C19" s="11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155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63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37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30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41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38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83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40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42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51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85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56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53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58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60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123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158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7" t="s">
        <v>21</v>
      </c>
      <c r="C3" s="16">
        <v>0</v>
      </c>
    </row>
    <row r="4" spans="1:4" ht="19.5" customHeight="1" x14ac:dyDescent="0.25">
      <c r="A4" s="19"/>
      <c r="B4" s="11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A82AB-DF8E-4BC0-9056-6F316020A76E}">
  <sheetPr codeName="Feuil5"/>
  <dimension ref="A1:I37"/>
  <sheetViews>
    <sheetView zoomScale="130" zoomScaleNormal="130" workbookViewId="0">
      <selection activeCell="B15" sqref="B15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6" t="s">
        <v>14</v>
      </c>
      <c r="B1" s="7">
        <v>1</v>
      </c>
      <c r="C1" s="17"/>
      <c r="D1" s="87"/>
    </row>
    <row r="2" spans="1:9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9" s="53" customFormat="1" x14ac:dyDescent="0.25">
      <c r="A3" s="95" t="s">
        <v>37</v>
      </c>
      <c r="B3" s="4">
        <v>5</v>
      </c>
      <c r="C3" s="90" t="s">
        <v>37</v>
      </c>
      <c r="D3" s="9"/>
    </row>
    <row r="4" spans="1:9" s="53" customFormat="1" x14ac:dyDescent="0.25">
      <c r="A4" s="91" t="s">
        <v>30</v>
      </c>
      <c r="B4" s="2">
        <v>10</v>
      </c>
      <c r="C4" s="94" t="s">
        <v>44</v>
      </c>
      <c r="D4" s="10"/>
    </row>
    <row r="5" spans="1:9" s="53" customFormat="1" ht="27" x14ac:dyDescent="0.25">
      <c r="A5" s="91" t="s">
        <v>41</v>
      </c>
      <c r="B5" s="2">
        <v>4</v>
      </c>
      <c r="C5" s="94" t="s">
        <v>45</v>
      </c>
      <c r="D5" s="10"/>
    </row>
    <row r="6" spans="1:9" s="53" customFormat="1" x14ac:dyDescent="0.25">
      <c r="A6" s="91" t="s">
        <v>83</v>
      </c>
      <c r="B6" s="2">
        <v>5</v>
      </c>
      <c r="C6" s="94" t="s">
        <v>157</v>
      </c>
      <c r="D6" s="10"/>
    </row>
    <row r="7" spans="1:9" s="53" customFormat="1" ht="27" x14ac:dyDescent="0.25">
      <c r="A7" s="91" t="s">
        <v>43</v>
      </c>
      <c r="B7" s="2">
        <v>6</v>
      </c>
      <c r="C7" s="94" t="s">
        <v>46</v>
      </c>
      <c r="D7" s="10"/>
    </row>
    <row r="8" spans="1:9" s="53" customFormat="1" ht="27" x14ac:dyDescent="0.25">
      <c r="A8" s="91" t="s">
        <v>38</v>
      </c>
      <c r="B8" s="2">
        <v>10</v>
      </c>
      <c r="C8" s="94" t="s">
        <v>47</v>
      </c>
      <c r="D8" s="10"/>
    </row>
    <row r="9" spans="1:9" s="53" customFormat="1" ht="14.25" thickBot="1" x14ac:dyDescent="0.3">
      <c r="A9" s="96" t="s">
        <v>40</v>
      </c>
      <c r="B9" s="2">
        <v>44</v>
      </c>
      <c r="C9" s="94" t="s">
        <v>48</v>
      </c>
      <c r="D9" s="10"/>
    </row>
    <row r="10" spans="1:9" ht="14.25" thickBot="1" x14ac:dyDescent="0.3">
      <c r="A10" s="12" t="s">
        <v>22</v>
      </c>
      <c r="B10" s="12">
        <f>SUM(B3:B9)</f>
        <v>84</v>
      </c>
      <c r="C10" s="92" t="s">
        <v>29</v>
      </c>
      <c r="D10" s="13"/>
    </row>
    <row r="11" spans="1:9" ht="15" thickBot="1" x14ac:dyDescent="0.35">
      <c r="A11" s="14"/>
      <c r="B11" s="14"/>
      <c r="C11" s="14"/>
      <c r="D11" s="14"/>
    </row>
    <row r="12" spans="1:9" ht="18.75" thickBot="1" x14ac:dyDescent="0.3">
      <c r="A12" s="6" t="s">
        <v>14</v>
      </c>
      <c r="B12" s="7">
        <v>2</v>
      </c>
      <c r="C12" s="17"/>
      <c r="D12" s="87"/>
    </row>
    <row r="13" spans="1:9" ht="27.75" thickBot="1" x14ac:dyDescent="0.3">
      <c r="A13" s="8" t="s">
        <v>3</v>
      </c>
      <c r="B13" s="18" t="s">
        <v>15</v>
      </c>
      <c r="C13" s="8" t="s">
        <v>7</v>
      </c>
      <c r="D13" s="8" t="s">
        <v>13</v>
      </c>
    </row>
    <row r="14" spans="1:9" x14ac:dyDescent="0.25">
      <c r="A14" s="95" t="s">
        <v>40</v>
      </c>
      <c r="B14" s="2">
        <v>9</v>
      </c>
      <c r="C14" s="94" t="s">
        <v>49</v>
      </c>
      <c r="D14" s="9"/>
    </row>
    <row r="15" spans="1:9" x14ac:dyDescent="0.25">
      <c r="A15" s="91" t="s">
        <v>42</v>
      </c>
      <c r="B15" s="2">
        <v>32</v>
      </c>
      <c r="C15" s="10" t="s">
        <v>50</v>
      </c>
      <c r="D15" s="10"/>
    </row>
    <row r="16" spans="1:9" x14ac:dyDescent="0.25">
      <c r="A16" s="91" t="s">
        <v>83</v>
      </c>
      <c r="B16" s="2">
        <v>4</v>
      </c>
      <c r="C16" s="94" t="s">
        <v>156</v>
      </c>
      <c r="D16" s="10"/>
      <c r="E16" s="20"/>
      <c r="F16" s="20"/>
      <c r="G16" s="20"/>
      <c r="H16" s="20"/>
      <c r="I16" s="20"/>
    </row>
    <row r="17" spans="1:9" ht="12.75" customHeight="1" x14ac:dyDescent="0.25">
      <c r="A17" s="91" t="s">
        <v>51</v>
      </c>
      <c r="B17" s="2">
        <v>15</v>
      </c>
      <c r="C17" s="94" t="s">
        <v>51</v>
      </c>
      <c r="D17" s="10"/>
      <c r="E17" s="20"/>
      <c r="F17" s="32"/>
      <c r="G17" s="33"/>
      <c r="H17" s="34"/>
      <c r="I17" s="20"/>
    </row>
    <row r="18" spans="1:9" ht="15" x14ac:dyDescent="0.25">
      <c r="A18" s="91" t="s">
        <v>56</v>
      </c>
      <c r="B18" s="2">
        <v>2</v>
      </c>
      <c r="C18" s="94" t="s">
        <v>57</v>
      </c>
      <c r="D18" s="10"/>
      <c r="E18" s="20"/>
      <c r="F18" s="35"/>
      <c r="G18" s="31"/>
      <c r="H18" s="31"/>
      <c r="I18" s="20"/>
    </row>
    <row r="19" spans="1:9" ht="27.75" thickBot="1" x14ac:dyDescent="0.3">
      <c r="A19" s="96" t="s">
        <v>41</v>
      </c>
      <c r="B19" s="2">
        <v>1</v>
      </c>
      <c r="C19" s="94" t="s">
        <v>55</v>
      </c>
      <c r="D19" s="10"/>
      <c r="E19" s="20"/>
      <c r="F19" s="37"/>
      <c r="G19" s="38"/>
      <c r="H19" s="38"/>
      <c r="I19" s="20"/>
    </row>
    <row r="20" spans="1:9" ht="14.25" thickBot="1" x14ac:dyDescent="0.3">
      <c r="A20" s="12" t="s">
        <v>22</v>
      </c>
      <c r="B20" s="12">
        <f>SUM(B14:B19)</f>
        <v>63</v>
      </c>
      <c r="C20" s="92" t="s">
        <v>120</v>
      </c>
      <c r="D20" s="13"/>
      <c r="E20" s="20"/>
      <c r="F20" s="37"/>
      <c r="G20" s="38"/>
      <c r="H20" s="38"/>
      <c r="I20" s="20"/>
    </row>
    <row r="21" spans="1:9" ht="15" thickBot="1" x14ac:dyDescent="0.35">
      <c r="A21" s="14"/>
      <c r="B21" s="14"/>
      <c r="C21" s="14"/>
      <c r="D21" s="14"/>
      <c r="E21" s="20"/>
      <c r="F21" s="37"/>
      <c r="G21" s="38"/>
      <c r="H21" s="38"/>
      <c r="I21" s="20"/>
    </row>
    <row r="22" spans="1:9" ht="18.75" thickBot="1" x14ac:dyDescent="0.3">
      <c r="A22" s="6" t="s">
        <v>14</v>
      </c>
      <c r="B22" s="7">
        <v>3</v>
      </c>
      <c r="C22" s="17"/>
      <c r="D22" s="87"/>
      <c r="E22" s="20"/>
      <c r="F22" s="37"/>
      <c r="G22" s="38"/>
      <c r="H22" s="38"/>
      <c r="I22" s="20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  <c r="E23" s="20"/>
      <c r="F23" s="39"/>
      <c r="G23" s="40"/>
      <c r="H23" s="40"/>
      <c r="I23" s="20"/>
    </row>
    <row r="24" spans="1:9" ht="14.25" x14ac:dyDescent="0.3">
      <c r="A24" s="95" t="s">
        <v>83</v>
      </c>
      <c r="B24" s="4">
        <v>35</v>
      </c>
      <c r="C24" s="90" t="s">
        <v>125</v>
      </c>
      <c r="D24" s="9"/>
      <c r="E24" s="20"/>
      <c r="F24" s="41"/>
      <c r="G24" s="41"/>
      <c r="H24" s="41"/>
      <c r="I24" s="20"/>
    </row>
    <row r="25" spans="1:9" x14ac:dyDescent="0.25">
      <c r="A25" s="91" t="s">
        <v>53</v>
      </c>
      <c r="B25" s="2">
        <v>15</v>
      </c>
      <c r="C25" s="53" t="s">
        <v>54</v>
      </c>
      <c r="D25" s="10"/>
      <c r="E25" s="20"/>
      <c r="F25" s="20"/>
      <c r="G25" s="20"/>
      <c r="H25" s="20"/>
      <c r="I25" s="20"/>
    </row>
    <row r="26" spans="1:9" ht="27" x14ac:dyDescent="0.25">
      <c r="A26" s="91" t="s">
        <v>58</v>
      </c>
      <c r="B26" s="2">
        <v>20</v>
      </c>
      <c r="C26" s="94" t="s">
        <v>59</v>
      </c>
      <c r="D26" s="10"/>
      <c r="E26" s="20"/>
      <c r="F26" s="20"/>
      <c r="G26" s="20"/>
      <c r="H26" s="20"/>
      <c r="I26" s="20"/>
    </row>
    <row r="27" spans="1:9" ht="27.75" thickBot="1" x14ac:dyDescent="0.3">
      <c r="A27" s="91" t="s">
        <v>41</v>
      </c>
      <c r="B27" s="2">
        <v>2</v>
      </c>
      <c r="C27" s="94" t="s">
        <v>55</v>
      </c>
      <c r="D27" s="10"/>
      <c r="E27" s="20"/>
      <c r="F27" s="20"/>
      <c r="G27" s="20"/>
      <c r="H27" s="20"/>
      <c r="I27" s="20"/>
    </row>
    <row r="28" spans="1:9" ht="14.25" thickBot="1" x14ac:dyDescent="0.3">
      <c r="A28" s="12" t="s">
        <v>22</v>
      </c>
      <c r="B28" s="12">
        <f>SUM(B24:B27)</f>
        <v>72</v>
      </c>
      <c r="C28" s="92" t="s">
        <v>119</v>
      </c>
      <c r="D28" s="13"/>
    </row>
    <row r="29" spans="1:9" ht="15" thickBot="1" x14ac:dyDescent="0.35">
      <c r="A29" s="14"/>
      <c r="B29" s="14"/>
      <c r="C29" s="14"/>
      <c r="D29" s="14"/>
    </row>
    <row r="30" spans="1:9" ht="18.75" thickBot="1" x14ac:dyDescent="0.3">
      <c r="A30" s="6" t="s">
        <v>14</v>
      </c>
      <c r="B30" s="7">
        <v>4</v>
      </c>
      <c r="C30" s="17"/>
      <c r="D30" s="87"/>
    </row>
    <row r="31" spans="1:9" ht="27.75" thickBot="1" x14ac:dyDescent="0.3">
      <c r="A31" s="8" t="s">
        <v>3</v>
      </c>
      <c r="B31" s="18" t="s">
        <v>15</v>
      </c>
      <c r="C31" s="8" t="s">
        <v>7</v>
      </c>
      <c r="D31" s="8" t="s">
        <v>13</v>
      </c>
    </row>
    <row r="32" spans="1:9" x14ac:dyDescent="0.25">
      <c r="A32" s="95" t="s">
        <v>60</v>
      </c>
      <c r="B32" s="4">
        <v>2</v>
      </c>
      <c r="C32" s="90" t="s">
        <v>61</v>
      </c>
      <c r="D32" s="9"/>
    </row>
    <row r="33" spans="1:4" x14ac:dyDescent="0.25">
      <c r="A33" s="91" t="s">
        <v>60</v>
      </c>
      <c r="B33" s="2">
        <v>35</v>
      </c>
      <c r="C33" s="94" t="s">
        <v>62</v>
      </c>
      <c r="D33" s="10"/>
    </row>
    <row r="34" spans="1:4" ht="14.25" thickBot="1" x14ac:dyDescent="0.3">
      <c r="A34" s="91" t="s">
        <v>123</v>
      </c>
      <c r="B34" s="2">
        <v>20</v>
      </c>
      <c r="C34" s="94" t="s">
        <v>124</v>
      </c>
      <c r="D34" s="10"/>
    </row>
    <row r="35" spans="1:4" ht="14.25" thickBot="1" x14ac:dyDescent="0.3">
      <c r="A35" s="12" t="s">
        <v>22</v>
      </c>
      <c r="B35" s="12">
        <f>SUM(B32:B34)</f>
        <v>57</v>
      </c>
      <c r="C35" s="92" t="s">
        <v>118</v>
      </c>
      <c r="D35" s="13"/>
    </row>
    <row r="36" spans="1:4" ht="14.25" x14ac:dyDescent="0.3">
      <c r="A36" s="14"/>
      <c r="B36" s="14"/>
      <c r="C36" s="14"/>
      <c r="D36" s="14"/>
    </row>
    <row r="37" spans="1:4" x14ac:dyDescent="0.25">
      <c r="A37" s="89" t="s">
        <v>28</v>
      </c>
    </row>
  </sheetData>
  <sheetProtection insertRows="0" selectLockedCells="1"/>
  <dataValidations count="4">
    <dataValidation type="list" allowBlank="1" showInputMessage="1" showErrorMessage="1" sqref="A3:A9 A24:A27 A32:A34 A14:A19" xr:uid="{D5ABE1A8-D14E-404C-A7BF-B5B6189F4BEA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0 B28 B35" xr:uid="{5AA73687-0036-4538-B299-0C0E9A6F304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9 B24:B27 B32:B34 B14:B19 F19:F22" xr:uid="{93BFAB57-B339-430D-A1C9-878A0EAD0468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23" xr:uid="{DC97126B-C116-4859-B2D7-3EDC866114D8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273A9-E73D-421C-8C91-8B7654245FE9}">
  <sheetPr codeName="Feuil9"/>
  <dimension ref="A1:I141"/>
  <sheetViews>
    <sheetView zoomScale="130" zoomScaleNormal="130" workbookViewId="0">
      <selection activeCell="A61" sqref="A6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45810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14.25" thickBot="1" x14ac:dyDescent="0.3">
      <c r="A3" s="100" t="s">
        <v>79</v>
      </c>
      <c r="B3" s="101"/>
      <c r="C3" s="102"/>
      <c r="D3" s="103"/>
    </row>
    <row r="4" spans="1:4" s="53" customFormat="1" x14ac:dyDescent="0.25">
      <c r="A4" s="93" t="s">
        <v>155</v>
      </c>
      <c r="B4" s="97">
        <v>2</v>
      </c>
      <c r="C4" s="98" t="s">
        <v>34</v>
      </c>
      <c r="D4" s="99"/>
    </row>
    <row r="5" spans="1:4" s="53" customFormat="1" x14ac:dyDescent="0.25">
      <c r="A5" s="91" t="s">
        <v>37</v>
      </c>
      <c r="B5" s="2">
        <v>5</v>
      </c>
      <c r="C5" s="94" t="s">
        <v>33</v>
      </c>
      <c r="D5" s="10"/>
    </row>
    <row r="6" spans="1:4" s="53" customFormat="1" x14ac:dyDescent="0.25">
      <c r="A6" s="91" t="s">
        <v>30</v>
      </c>
      <c r="B6" s="2">
        <v>5</v>
      </c>
      <c r="C6" s="94" t="s">
        <v>30</v>
      </c>
      <c r="D6" s="10"/>
    </row>
    <row r="7" spans="1:4" s="53" customFormat="1" x14ac:dyDescent="0.25">
      <c r="A7" s="91" t="s">
        <v>30</v>
      </c>
      <c r="B7" s="2">
        <v>2</v>
      </c>
      <c r="C7" s="94" t="s">
        <v>32</v>
      </c>
      <c r="D7" s="10"/>
    </row>
    <row r="8" spans="1:4" s="53" customFormat="1" x14ac:dyDescent="0.25">
      <c r="A8" s="91" t="s">
        <v>30</v>
      </c>
      <c r="B8" s="2">
        <v>1</v>
      </c>
      <c r="C8" s="94" t="s">
        <v>31</v>
      </c>
      <c r="D8" s="10"/>
    </row>
    <row r="9" spans="1:4" s="53" customFormat="1" x14ac:dyDescent="0.25">
      <c r="A9" s="91" t="s">
        <v>83</v>
      </c>
      <c r="B9" s="2">
        <v>2</v>
      </c>
      <c r="C9" s="94" t="s">
        <v>39</v>
      </c>
      <c r="D9" s="10"/>
    </row>
    <row r="10" spans="1:4" s="53" customFormat="1" ht="27" x14ac:dyDescent="0.25">
      <c r="A10" s="91" t="s">
        <v>38</v>
      </c>
      <c r="B10" s="2">
        <v>2</v>
      </c>
      <c r="C10" s="94" t="s">
        <v>35</v>
      </c>
      <c r="D10" s="10"/>
    </row>
    <row r="11" spans="1:4" s="53" customFormat="1" ht="27" x14ac:dyDescent="0.25">
      <c r="A11" s="91" t="s">
        <v>38</v>
      </c>
      <c r="B11" s="2">
        <v>2</v>
      </c>
      <c r="C11" s="94" t="s">
        <v>36</v>
      </c>
      <c r="D11" s="10"/>
    </row>
    <row r="12" spans="1:4" s="53" customFormat="1" ht="14.25" thickBot="1" x14ac:dyDescent="0.3">
      <c r="A12" s="104"/>
      <c r="B12" s="51"/>
      <c r="C12" s="52"/>
      <c r="D12" s="52"/>
    </row>
    <row r="13" spans="1:4" s="53" customFormat="1" ht="14.25" thickBot="1" x14ac:dyDescent="0.3">
      <c r="A13" s="100" t="s">
        <v>78</v>
      </c>
      <c r="B13" s="101"/>
      <c r="C13" s="103"/>
      <c r="D13" s="103"/>
    </row>
    <row r="14" spans="1:4" s="53" customFormat="1" ht="27" x14ac:dyDescent="0.25">
      <c r="A14" s="105" t="s">
        <v>43</v>
      </c>
      <c r="B14" s="97">
        <v>4</v>
      </c>
      <c r="C14" s="98" t="s">
        <v>46</v>
      </c>
      <c r="D14" s="99"/>
    </row>
    <row r="15" spans="1:4" s="53" customFormat="1" ht="27" x14ac:dyDescent="0.25">
      <c r="A15" s="91" t="s">
        <v>38</v>
      </c>
      <c r="B15" s="2">
        <v>4</v>
      </c>
      <c r="C15" s="94" t="s">
        <v>65</v>
      </c>
      <c r="D15" s="10"/>
    </row>
    <row r="16" spans="1:4" s="53" customFormat="1" x14ac:dyDescent="0.25">
      <c r="A16" s="91" t="s">
        <v>83</v>
      </c>
      <c r="B16" s="2">
        <v>1</v>
      </c>
      <c r="C16" s="94" t="s">
        <v>156</v>
      </c>
      <c r="D16" s="10"/>
    </row>
    <row r="17" spans="1:4" s="53" customFormat="1" x14ac:dyDescent="0.25">
      <c r="A17" s="91" t="s">
        <v>63</v>
      </c>
      <c r="B17" s="2">
        <v>3</v>
      </c>
      <c r="C17" s="94" t="s">
        <v>64</v>
      </c>
      <c r="D17" s="10"/>
    </row>
    <row r="18" spans="1:4" s="53" customFormat="1" ht="27" x14ac:dyDescent="0.25">
      <c r="A18" s="91" t="s">
        <v>41</v>
      </c>
      <c r="B18" s="2">
        <v>1</v>
      </c>
      <c r="C18" s="94" t="s">
        <v>66</v>
      </c>
      <c r="D18" s="10"/>
    </row>
    <row r="19" spans="1:4" s="53" customFormat="1" x14ac:dyDescent="0.25">
      <c r="A19" s="91" t="s">
        <v>63</v>
      </c>
      <c r="B19" s="2">
        <v>1</v>
      </c>
      <c r="C19" s="94" t="s">
        <v>67</v>
      </c>
      <c r="D19" s="10"/>
    </row>
    <row r="20" spans="1:4" s="53" customFormat="1" x14ac:dyDescent="0.25">
      <c r="A20" s="91" t="s">
        <v>40</v>
      </c>
      <c r="B20" s="2">
        <v>2</v>
      </c>
      <c r="C20" s="94" t="s">
        <v>68</v>
      </c>
      <c r="D20" s="10"/>
    </row>
    <row r="21" spans="1:4" s="53" customFormat="1" x14ac:dyDescent="0.25">
      <c r="A21" s="91" t="s">
        <v>40</v>
      </c>
      <c r="B21" s="2">
        <v>2</v>
      </c>
      <c r="C21" s="94" t="s">
        <v>69</v>
      </c>
      <c r="D21" s="10"/>
    </row>
    <row r="22" spans="1:4" s="53" customFormat="1" x14ac:dyDescent="0.25">
      <c r="A22" s="91" t="s">
        <v>40</v>
      </c>
      <c r="B22" s="2">
        <v>4</v>
      </c>
      <c r="C22" s="94" t="s">
        <v>70</v>
      </c>
      <c r="D22" s="10"/>
    </row>
    <row r="23" spans="1:4" s="53" customFormat="1" ht="27" x14ac:dyDescent="0.25">
      <c r="A23" s="96" t="s">
        <v>41</v>
      </c>
      <c r="B23" s="2">
        <v>2</v>
      </c>
      <c r="C23" s="94" t="s">
        <v>71</v>
      </c>
      <c r="D23" s="10"/>
    </row>
    <row r="24" spans="1:4" s="53" customFormat="1" ht="14.25" thickBot="1" x14ac:dyDescent="0.3">
      <c r="A24" s="51"/>
      <c r="B24" s="51"/>
      <c r="C24" s="52"/>
      <c r="D24" s="52"/>
    </row>
    <row r="25" spans="1:4" s="53" customFormat="1" ht="14.25" thickBot="1" x14ac:dyDescent="0.3">
      <c r="A25" s="109" t="s">
        <v>77</v>
      </c>
      <c r="B25" s="109"/>
      <c r="C25" s="110"/>
      <c r="D25" s="110"/>
    </row>
    <row r="26" spans="1:4" s="53" customFormat="1" x14ac:dyDescent="0.25">
      <c r="A26" s="111" t="s">
        <v>155</v>
      </c>
      <c r="B26" s="107">
        <v>1</v>
      </c>
      <c r="C26" s="112" t="s">
        <v>72</v>
      </c>
      <c r="D26" s="108"/>
    </row>
    <row r="27" spans="1:4" s="53" customFormat="1" ht="27" x14ac:dyDescent="0.25">
      <c r="A27" s="106" t="s">
        <v>52</v>
      </c>
      <c r="B27" s="51">
        <v>1</v>
      </c>
      <c r="C27" s="113" t="s">
        <v>73</v>
      </c>
      <c r="D27" s="52"/>
    </row>
    <row r="28" spans="1:4" s="53" customFormat="1" ht="27" x14ac:dyDescent="0.25">
      <c r="A28" s="106" t="s">
        <v>41</v>
      </c>
      <c r="B28" s="51">
        <v>1</v>
      </c>
      <c r="C28" s="113" t="s">
        <v>74</v>
      </c>
      <c r="D28" s="52"/>
    </row>
    <row r="29" spans="1:4" s="53" customFormat="1" x14ac:dyDescent="0.25">
      <c r="A29" s="106" t="s">
        <v>158</v>
      </c>
      <c r="B29" s="51">
        <v>1</v>
      </c>
      <c r="C29" s="113" t="s">
        <v>75</v>
      </c>
      <c r="D29" s="52"/>
    </row>
    <row r="30" spans="1:4" s="53" customFormat="1" x14ac:dyDescent="0.25">
      <c r="A30" s="106" t="s">
        <v>42</v>
      </c>
      <c r="B30" s="51">
        <v>13</v>
      </c>
      <c r="C30" s="113" t="s">
        <v>76</v>
      </c>
      <c r="D30" s="52"/>
    </row>
    <row r="31" spans="1:4" s="53" customFormat="1" x14ac:dyDescent="0.25">
      <c r="A31" s="106" t="s">
        <v>40</v>
      </c>
      <c r="B31" s="51">
        <v>3</v>
      </c>
      <c r="C31" s="113" t="s">
        <v>80</v>
      </c>
      <c r="D31" s="52"/>
    </row>
    <row r="32" spans="1:4" s="53" customFormat="1" x14ac:dyDescent="0.25">
      <c r="A32" s="106" t="s">
        <v>42</v>
      </c>
      <c r="B32" s="51">
        <v>3</v>
      </c>
      <c r="C32" s="113" t="s">
        <v>81</v>
      </c>
      <c r="D32" s="52"/>
    </row>
    <row r="33" spans="1:4" s="53" customFormat="1" x14ac:dyDescent="0.25">
      <c r="A33" s="106" t="s">
        <v>42</v>
      </c>
      <c r="B33" s="51">
        <v>1</v>
      </c>
      <c r="C33" s="113" t="s">
        <v>82</v>
      </c>
      <c r="D33" s="52"/>
    </row>
    <row r="34" spans="1:4" s="53" customFormat="1" x14ac:dyDescent="0.25">
      <c r="A34" s="106" t="s">
        <v>83</v>
      </c>
      <c r="B34" s="51">
        <v>3</v>
      </c>
      <c r="C34" s="113" t="s">
        <v>84</v>
      </c>
      <c r="D34" s="52"/>
    </row>
    <row r="35" spans="1:4" s="53" customFormat="1" ht="14.25" thickBot="1" x14ac:dyDescent="0.3">
      <c r="A35" s="51"/>
      <c r="B35" s="51"/>
      <c r="C35" s="52"/>
      <c r="D35" s="52"/>
    </row>
    <row r="36" spans="1:4" s="53" customFormat="1" ht="14.25" thickBot="1" x14ac:dyDescent="0.3">
      <c r="A36" s="109" t="s">
        <v>86</v>
      </c>
      <c r="B36" s="101"/>
      <c r="C36" s="103"/>
      <c r="D36" s="103"/>
    </row>
    <row r="37" spans="1:4" s="53" customFormat="1" ht="27" x14ac:dyDescent="0.25">
      <c r="A37" s="106" t="s">
        <v>85</v>
      </c>
      <c r="B37" s="51">
        <v>1</v>
      </c>
      <c r="C37" s="113" t="s">
        <v>87</v>
      </c>
      <c r="D37" s="52"/>
    </row>
    <row r="38" spans="1:4" s="53" customFormat="1" ht="27" x14ac:dyDescent="0.25">
      <c r="A38" s="106" t="s">
        <v>41</v>
      </c>
      <c r="B38" s="51">
        <v>1</v>
      </c>
      <c r="C38" s="113" t="s">
        <v>88</v>
      </c>
      <c r="D38" s="52"/>
    </row>
    <row r="39" spans="1:4" s="53" customFormat="1" x14ac:dyDescent="0.25">
      <c r="A39" s="106" t="s">
        <v>89</v>
      </c>
      <c r="B39" s="51">
        <v>1</v>
      </c>
      <c r="C39" s="113" t="s">
        <v>90</v>
      </c>
      <c r="D39" s="52"/>
    </row>
    <row r="40" spans="1:4" s="53" customFormat="1" ht="27" x14ac:dyDescent="0.25">
      <c r="A40" s="106" t="s">
        <v>40</v>
      </c>
      <c r="B40" s="51">
        <v>1</v>
      </c>
      <c r="C40" s="113" t="s">
        <v>92</v>
      </c>
      <c r="D40" s="52"/>
    </row>
    <row r="41" spans="1:4" s="53" customFormat="1" x14ac:dyDescent="0.25">
      <c r="A41" s="106" t="s">
        <v>42</v>
      </c>
      <c r="B41" s="51">
        <v>1</v>
      </c>
      <c r="C41" s="113" t="s">
        <v>91</v>
      </c>
      <c r="D41" s="52"/>
    </row>
    <row r="42" spans="1:4" s="53" customFormat="1" ht="14.25" thickBot="1" x14ac:dyDescent="0.3">
      <c r="A42" s="106" t="s">
        <v>42</v>
      </c>
      <c r="B42" s="51">
        <v>7</v>
      </c>
      <c r="C42" s="113" t="s">
        <v>93</v>
      </c>
      <c r="D42" s="52"/>
    </row>
    <row r="43" spans="1:4" ht="14.25" thickBot="1" x14ac:dyDescent="0.3">
      <c r="A43" s="48" t="s">
        <v>22</v>
      </c>
      <c r="B43" s="48">
        <f>SUM(B3:B42)</f>
        <v>84</v>
      </c>
      <c r="C43" s="88" t="s">
        <v>29</v>
      </c>
      <c r="D43" s="49"/>
    </row>
    <row r="44" spans="1:4" ht="15" thickBot="1" x14ac:dyDescent="0.35">
      <c r="A44" s="50"/>
      <c r="B44" s="50"/>
      <c r="C44" s="50"/>
      <c r="D44" s="50"/>
    </row>
    <row r="45" spans="1:4" ht="18.75" thickBot="1" x14ac:dyDescent="0.3">
      <c r="A45" s="43" t="s">
        <v>14</v>
      </c>
      <c r="B45" s="44">
        <v>2</v>
      </c>
      <c r="C45" s="45" t="s">
        <v>23</v>
      </c>
      <c r="D45" s="54">
        <f>$D$1+7</f>
        <v>45817</v>
      </c>
    </row>
    <row r="46" spans="1:4" ht="27.75" thickBot="1" x14ac:dyDescent="0.3">
      <c r="A46" s="46" t="s">
        <v>3</v>
      </c>
      <c r="B46" s="47" t="s">
        <v>15</v>
      </c>
      <c r="C46" s="46" t="s">
        <v>7</v>
      </c>
      <c r="D46" s="46" t="s">
        <v>13</v>
      </c>
    </row>
    <row r="47" spans="1:4" ht="14.25" thickBot="1" x14ac:dyDescent="0.3">
      <c r="A47" s="100" t="s">
        <v>78</v>
      </c>
      <c r="B47" s="101"/>
      <c r="C47" s="103"/>
      <c r="D47" s="103"/>
    </row>
    <row r="48" spans="1:4" x14ac:dyDescent="0.25">
      <c r="A48" s="105" t="s">
        <v>85</v>
      </c>
      <c r="B48" s="97">
        <v>2</v>
      </c>
      <c r="C48" s="98" t="s">
        <v>164</v>
      </c>
      <c r="D48" s="99"/>
    </row>
    <row r="49" spans="1:9" x14ac:dyDescent="0.25">
      <c r="A49" s="91" t="s">
        <v>42</v>
      </c>
      <c r="B49" s="2">
        <v>1</v>
      </c>
      <c r="C49" s="94" t="s">
        <v>94</v>
      </c>
      <c r="D49" s="10"/>
      <c r="E49" s="20"/>
      <c r="F49" s="20"/>
      <c r="G49" s="20"/>
      <c r="H49" s="20"/>
      <c r="I49" s="20"/>
    </row>
    <row r="50" spans="1:9" ht="12.75" customHeight="1" x14ac:dyDescent="0.25">
      <c r="A50" s="91" t="s">
        <v>95</v>
      </c>
      <c r="B50" s="2">
        <v>1</v>
      </c>
      <c r="C50" s="94" t="s">
        <v>96</v>
      </c>
      <c r="D50" s="10"/>
      <c r="E50" s="20"/>
      <c r="F50" s="32"/>
      <c r="G50" s="33"/>
      <c r="H50" s="34"/>
      <c r="I50" s="20"/>
    </row>
    <row r="51" spans="1:9" ht="15" x14ac:dyDescent="0.25">
      <c r="A51" s="91" t="s">
        <v>42</v>
      </c>
      <c r="B51" s="2">
        <v>4</v>
      </c>
      <c r="C51" s="94" t="s">
        <v>97</v>
      </c>
      <c r="D51" s="10"/>
      <c r="E51" s="20"/>
      <c r="F51" s="35"/>
      <c r="G51" s="31"/>
      <c r="H51" s="31"/>
      <c r="I51" s="20"/>
    </row>
    <row r="52" spans="1:9" ht="27" x14ac:dyDescent="0.25">
      <c r="A52" s="91" t="s">
        <v>41</v>
      </c>
      <c r="B52" s="2">
        <v>2</v>
      </c>
      <c r="C52" s="94" t="s">
        <v>98</v>
      </c>
      <c r="D52" s="10"/>
      <c r="E52" s="20"/>
      <c r="F52" s="37"/>
      <c r="G52" s="38"/>
      <c r="H52" s="38"/>
      <c r="I52" s="20"/>
    </row>
    <row r="53" spans="1:9" x14ac:dyDescent="0.25">
      <c r="A53" s="91" t="s">
        <v>42</v>
      </c>
      <c r="B53" s="2">
        <v>4</v>
      </c>
      <c r="C53" s="94" t="s">
        <v>99</v>
      </c>
      <c r="D53" s="10"/>
      <c r="E53" s="20"/>
      <c r="F53" s="37"/>
      <c r="G53" s="38"/>
      <c r="H53" s="38"/>
      <c r="I53" s="20"/>
    </row>
    <row r="54" spans="1:9" x14ac:dyDescent="0.25">
      <c r="A54" s="91" t="s">
        <v>42</v>
      </c>
      <c r="B54" s="2">
        <v>4</v>
      </c>
      <c r="C54" s="94" t="s">
        <v>102</v>
      </c>
      <c r="D54" s="10"/>
      <c r="E54" s="20"/>
      <c r="F54" s="37"/>
      <c r="G54" s="38"/>
      <c r="H54" s="38"/>
      <c r="I54" s="20"/>
    </row>
    <row r="55" spans="1:9" ht="40.5" x14ac:dyDescent="0.25">
      <c r="A55" s="91" t="s">
        <v>83</v>
      </c>
      <c r="B55" s="2">
        <v>3</v>
      </c>
      <c r="C55" s="94" t="s">
        <v>103</v>
      </c>
      <c r="D55" s="10" t="s">
        <v>105</v>
      </c>
      <c r="E55" s="20"/>
      <c r="F55" s="37"/>
      <c r="G55" s="38"/>
      <c r="H55" s="38"/>
      <c r="I55" s="20"/>
    </row>
    <row r="56" spans="1:9" ht="27" x14ac:dyDescent="0.25">
      <c r="A56" s="91" t="s">
        <v>41</v>
      </c>
      <c r="B56" s="2">
        <v>1</v>
      </c>
      <c r="C56" s="94" t="s">
        <v>55</v>
      </c>
      <c r="D56" s="10"/>
      <c r="E56" s="20"/>
      <c r="F56" s="37"/>
      <c r="G56" s="38"/>
      <c r="H56" s="38"/>
      <c r="I56" s="20"/>
    </row>
    <row r="57" spans="1:9" ht="27" x14ac:dyDescent="0.25">
      <c r="A57" s="96" t="s">
        <v>56</v>
      </c>
      <c r="B57" s="2">
        <v>1</v>
      </c>
      <c r="C57" s="94" t="s">
        <v>100</v>
      </c>
      <c r="D57" s="10" t="s">
        <v>101</v>
      </c>
      <c r="E57" s="20"/>
      <c r="F57" s="37"/>
      <c r="G57" s="38"/>
      <c r="H57" s="38"/>
      <c r="I57" s="20"/>
    </row>
    <row r="58" spans="1:9" x14ac:dyDescent="0.25">
      <c r="A58" s="96" t="s">
        <v>158</v>
      </c>
      <c r="B58" s="2">
        <v>1</v>
      </c>
      <c r="C58" s="94" t="s">
        <v>104</v>
      </c>
      <c r="D58" s="10"/>
      <c r="E58" s="20"/>
      <c r="F58" s="37"/>
      <c r="G58" s="38"/>
      <c r="H58" s="38"/>
      <c r="I58" s="20"/>
    </row>
    <row r="59" spans="1:9" ht="12.75" customHeight="1" thickBot="1" x14ac:dyDescent="0.3">
      <c r="A59" s="51"/>
      <c r="B59" s="51"/>
      <c r="C59" s="52"/>
      <c r="D59" s="52"/>
      <c r="E59" s="20"/>
      <c r="F59" s="37"/>
      <c r="G59" s="38"/>
      <c r="H59" s="38"/>
      <c r="I59" s="20"/>
    </row>
    <row r="60" spans="1:9" ht="12.75" customHeight="1" thickBot="1" x14ac:dyDescent="0.3">
      <c r="A60" s="109" t="s">
        <v>77</v>
      </c>
      <c r="B60" s="101"/>
      <c r="C60" s="103"/>
      <c r="D60" s="103"/>
      <c r="E60" s="20"/>
      <c r="F60" s="37"/>
      <c r="G60" s="38"/>
      <c r="H60" s="38"/>
      <c r="I60" s="20"/>
    </row>
    <row r="61" spans="1:9" ht="12.75" customHeight="1" x14ac:dyDescent="0.25">
      <c r="A61" s="111" t="s">
        <v>85</v>
      </c>
      <c r="B61" s="107">
        <v>1</v>
      </c>
      <c r="C61" s="112" t="s">
        <v>106</v>
      </c>
      <c r="D61" s="108"/>
      <c r="E61" s="20"/>
      <c r="F61" s="37"/>
      <c r="G61" s="38"/>
      <c r="H61" s="38"/>
      <c r="I61" s="20"/>
    </row>
    <row r="62" spans="1:9" ht="12.75" customHeight="1" x14ac:dyDescent="0.25">
      <c r="A62" s="106" t="s">
        <v>40</v>
      </c>
      <c r="B62" s="51">
        <v>3</v>
      </c>
      <c r="C62" s="113" t="s">
        <v>107</v>
      </c>
      <c r="D62" s="52"/>
      <c r="E62" s="20"/>
      <c r="F62" s="37"/>
      <c r="G62" s="38"/>
      <c r="H62" s="38"/>
      <c r="I62" s="20"/>
    </row>
    <row r="63" spans="1:9" ht="12.75" customHeight="1" x14ac:dyDescent="0.25">
      <c r="A63" s="106" t="s">
        <v>42</v>
      </c>
      <c r="B63" s="51">
        <v>2</v>
      </c>
      <c r="C63" s="52" t="s">
        <v>108</v>
      </c>
      <c r="D63" s="52"/>
      <c r="E63" s="20"/>
      <c r="F63" s="37"/>
      <c r="G63" s="38"/>
      <c r="H63" s="38"/>
      <c r="I63" s="20"/>
    </row>
    <row r="64" spans="1:9" ht="12.75" customHeight="1" x14ac:dyDescent="0.25">
      <c r="A64" s="106" t="s">
        <v>158</v>
      </c>
      <c r="B64" s="51">
        <v>5</v>
      </c>
      <c r="C64" s="113" t="s">
        <v>132</v>
      </c>
      <c r="D64" s="52"/>
      <c r="E64" s="20"/>
      <c r="F64" s="37"/>
      <c r="G64" s="38"/>
      <c r="H64" s="38"/>
      <c r="I64" s="20"/>
    </row>
    <row r="65" spans="1:9" ht="12.75" customHeight="1" x14ac:dyDescent="0.25">
      <c r="A65" s="106" t="s">
        <v>41</v>
      </c>
      <c r="B65" s="51">
        <v>1</v>
      </c>
      <c r="C65" s="113" t="s">
        <v>109</v>
      </c>
      <c r="D65" s="52"/>
      <c r="E65" s="20"/>
      <c r="F65" s="37"/>
      <c r="G65" s="38"/>
      <c r="H65" s="38"/>
      <c r="I65" s="20"/>
    </row>
    <row r="66" spans="1:9" ht="12.75" customHeight="1" x14ac:dyDescent="0.25">
      <c r="A66" s="106" t="s">
        <v>42</v>
      </c>
      <c r="B66" s="51">
        <v>1</v>
      </c>
      <c r="C66" s="113" t="s">
        <v>110</v>
      </c>
      <c r="D66" s="52"/>
      <c r="E66" s="20"/>
      <c r="F66" s="37"/>
      <c r="G66" s="38"/>
      <c r="H66" s="38"/>
      <c r="I66" s="20"/>
    </row>
    <row r="67" spans="1:9" ht="12.75" customHeight="1" x14ac:dyDescent="0.25">
      <c r="A67" s="106" t="s">
        <v>158</v>
      </c>
      <c r="B67" s="51">
        <v>3</v>
      </c>
      <c r="C67" s="113" t="s">
        <v>111</v>
      </c>
      <c r="D67" s="52"/>
      <c r="E67" s="20"/>
      <c r="F67" s="37"/>
      <c r="G67" s="38"/>
      <c r="H67" s="38"/>
      <c r="I67" s="20"/>
    </row>
    <row r="68" spans="1:9" ht="12.75" customHeight="1" x14ac:dyDescent="0.25">
      <c r="A68" s="106" t="s">
        <v>83</v>
      </c>
      <c r="B68" s="51">
        <v>1</v>
      </c>
      <c r="C68" s="113" t="s">
        <v>112</v>
      </c>
      <c r="D68" s="52"/>
      <c r="E68" s="20"/>
      <c r="F68" s="37"/>
      <c r="G68" s="38"/>
      <c r="H68" s="38"/>
      <c r="I68" s="20"/>
    </row>
    <row r="69" spans="1:9" x14ac:dyDescent="0.25">
      <c r="A69" s="106" t="s">
        <v>42</v>
      </c>
      <c r="B69" s="51">
        <v>4</v>
      </c>
      <c r="C69" s="113" t="s">
        <v>113</v>
      </c>
      <c r="D69" s="52"/>
      <c r="E69" s="20"/>
      <c r="F69" s="37"/>
      <c r="G69" s="38"/>
      <c r="H69" s="38"/>
      <c r="I69" s="20"/>
    </row>
    <row r="70" spans="1:9" x14ac:dyDescent="0.25">
      <c r="A70" s="106" t="s">
        <v>158</v>
      </c>
      <c r="B70" s="51">
        <v>1</v>
      </c>
      <c r="C70" s="113" t="s">
        <v>159</v>
      </c>
      <c r="D70" s="52"/>
      <c r="E70" s="20"/>
      <c r="F70" s="37"/>
      <c r="G70" s="38"/>
      <c r="H70" s="38"/>
      <c r="I70" s="20"/>
    </row>
    <row r="71" spans="1:9" x14ac:dyDescent="0.25">
      <c r="A71" s="106" t="s">
        <v>42</v>
      </c>
      <c r="B71" s="51">
        <v>1</v>
      </c>
      <c r="C71" s="113" t="s">
        <v>117</v>
      </c>
      <c r="D71" s="52"/>
      <c r="E71" s="20"/>
      <c r="F71" s="37"/>
      <c r="G71" s="38"/>
      <c r="H71" s="38"/>
      <c r="I71" s="20"/>
    </row>
    <row r="72" spans="1:9" ht="27" x14ac:dyDescent="0.25">
      <c r="A72" s="106" t="s">
        <v>41</v>
      </c>
      <c r="B72" s="51">
        <v>1</v>
      </c>
      <c r="C72" s="113" t="s">
        <v>109</v>
      </c>
      <c r="D72" s="52"/>
      <c r="E72" s="20"/>
      <c r="F72" s="37"/>
      <c r="G72" s="38"/>
      <c r="H72" s="38"/>
      <c r="I72" s="20"/>
    </row>
    <row r="73" spans="1:9" x14ac:dyDescent="0.25">
      <c r="A73" s="106" t="s">
        <v>21</v>
      </c>
      <c r="B73" s="51">
        <v>3</v>
      </c>
      <c r="C73" s="113" t="s">
        <v>114</v>
      </c>
      <c r="D73" s="52"/>
      <c r="E73" s="20"/>
      <c r="F73" s="37"/>
      <c r="G73" s="38"/>
      <c r="H73" s="38"/>
      <c r="I73" s="20"/>
    </row>
    <row r="74" spans="1:9" ht="14.25" thickBot="1" x14ac:dyDescent="0.3">
      <c r="A74" s="106"/>
      <c r="B74" s="51"/>
      <c r="C74" s="113"/>
      <c r="D74" s="52"/>
      <c r="E74" s="20"/>
      <c r="F74" s="37"/>
      <c r="G74" s="38"/>
      <c r="H74" s="38"/>
      <c r="I74" s="20"/>
    </row>
    <row r="75" spans="1:9" ht="14.25" thickBot="1" x14ac:dyDescent="0.3">
      <c r="A75" s="109" t="s">
        <v>86</v>
      </c>
      <c r="B75" s="101"/>
      <c r="C75" s="102"/>
      <c r="D75" s="103"/>
      <c r="E75" s="20"/>
      <c r="F75" s="37"/>
      <c r="G75" s="38"/>
      <c r="H75" s="38"/>
      <c r="I75" s="20"/>
    </row>
    <row r="76" spans="1:9" x14ac:dyDescent="0.25">
      <c r="A76" s="111" t="s">
        <v>85</v>
      </c>
      <c r="B76" s="107">
        <v>1</v>
      </c>
      <c r="C76" s="112" t="s">
        <v>115</v>
      </c>
      <c r="D76" s="108"/>
      <c r="E76" s="20"/>
      <c r="F76" s="37"/>
      <c r="G76" s="38"/>
      <c r="H76" s="38"/>
      <c r="I76" s="20"/>
    </row>
    <row r="77" spans="1:9" x14ac:dyDescent="0.25">
      <c r="A77" s="106" t="s">
        <v>60</v>
      </c>
      <c r="B77" s="51">
        <v>1</v>
      </c>
      <c r="C77" s="113" t="s">
        <v>116</v>
      </c>
      <c r="D77" s="52"/>
      <c r="E77" s="20"/>
      <c r="F77" s="37"/>
      <c r="G77" s="38"/>
      <c r="H77" s="38"/>
      <c r="I77" s="20"/>
    </row>
    <row r="78" spans="1:9" ht="40.5" x14ac:dyDescent="0.25">
      <c r="A78" s="106" t="s">
        <v>42</v>
      </c>
      <c r="B78" s="51">
        <v>4</v>
      </c>
      <c r="C78" s="113" t="s">
        <v>160</v>
      </c>
      <c r="D78" s="52"/>
      <c r="E78" s="20"/>
      <c r="F78" s="37"/>
      <c r="G78" s="38"/>
      <c r="H78" s="38"/>
      <c r="I78" s="20"/>
    </row>
    <row r="79" spans="1:9" ht="27" x14ac:dyDescent="0.25">
      <c r="A79" s="106" t="s">
        <v>41</v>
      </c>
      <c r="B79" s="51">
        <v>1</v>
      </c>
      <c r="C79" s="113" t="s">
        <v>55</v>
      </c>
      <c r="D79" s="52"/>
      <c r="E79" s="20"/>
      <c r="F79" s="37"/>
      <c r="G79" s="38"/>
      <c r="H79" s="38"/>
      <c r="I79" s="20"/>
    </row>
    <row r="80" spans="1:9" ht="14.25" thickBot="1" x14ac:dyDescent="0.3">
      <c r="A80" s="106" t="s">
        <v>21</v>
      </c>
      <c r="B80" s="51">
        <v>5</v>
      </c>
      <c r="C80" s="113" t="s">
        <v>121</v>
      </c>
      <c r="D80" s="52"/>
      <c r="E80" s="20"/>
      <c r="F80" s="37"/>
      <c r="G80" s="38"/>
      <c r="H80" s="38"/>
      <c r="I80" s="20"/>
    </row>
    <row r="81" spans="1:9" ht="14.25" thickBot="1" x14ac:dyDescent="0.3">
      <c r="A81" s="48" t="s">
        <v>22</v>
      </c>
      <c r="B81" s="48">
        <f>SUM(B47:B80)</f>
        <v>63</v>
      </c>
      <c r="C81" s="88" t="s">
        <v>120</v>
      </c>
      <c r="D81" s="49"/>
      <c r="E81" s="20"/>
      <c r="F81" s="20"/>
      <c r="G81" s="20"/>
      <c r="H81" s="20"/>
      <c r="I81" s="20"/>
    </row>
    <row r="82" spans="1:9" ht="15" thickBot="1" x14ac:dyDescent="0.35">
      <c r="A82" s="50"/>
      <c r="B82" s="50"/>
      <c r="C82" s="50"/>
      <c r="D82" s="50"/>
      <c r="E82" s="20"/>
      <c r="F82" s="20"/>
      <c r="G82" s="20"/>
      <c r="H82" s="20"/>
      <c r="I82" s="20"/>
    </row>
    <row r="83" spans="1:9" ht="18.75" thickBot="1" x14ac:dyDescent="0.3">
      <c r="A83" s="43" t="s">
        <v>14</v>
      </c>
      <c r="B83" s="44">
        <v>3</v>
      </c>
      <c r="C83" s="45" t="s">
        <v>23</v>
      </c>
      <c r="D83" s="54">
        <f>$D$45+7</f>
        <v>45824</v>
      </c>
      <c r="E83" s="20"/>
      <c r="F83" s="20"/>
      <c r="G83" s="20"/>
      <c r="H83" s="20"/>
      <c r="I83" s="20"/>
    </row>
    <row r="84" spans="1:9" ht="27.75" thickBot="1" x14ac:dyDescent="0.3">
      <c r="A84" s="46" t="s">
        <v>3</v>
      </c>
      <c r="B84" s="47" t="s">
        <v>15</v>
      </c>
      <c r="C84" s="46" t="s">
        <v>7</v>
      </c>
      <c r="D84" s="46" t="s">
        <v>13</v>
      </c>
    </row>
    <row r="85" spans="1:9" ht="14.25" thickBot="1" x14ac:dyDescent="0.3">
      <c r="A85" s="100" t="s">
        <v>122</v>
      </c>
      <c r="B85" s="101"/>
      <c r="C85" s="103"/>
      <c r="D85" s="103"/>
    </row>
    <row r="86" spans="1:9" ht="27" x14ac:dyDescent="0.25">
      <c r="A86" s="91" t="s">
        <v>43</v>
      </c>
      <c r="B86" s="2">
        <v>2</v>
      </c>
      <c r="C86" s="94" t="s">
        <v>126</v>
      </c>
      <c r="D86" s="10"/>
    </row>
    <row r="87" spans="1:9" x14ac:dyDescent="0.25">
      <c r="A87" s="91" t="s">
        <v>21</v>
      </c>
      <c r="B87" s="2">
        <v>2</v>
      </c>
      <c r="C87" s="94" t="s">
        <v>127</v>
      </c>
      <c r="D87" s="10"/>
    </row>
    <row r="88" spans="1:9" x14ac:dyDescent="0.25">
      <c r="A88" s="91" t="s">
        <v>40</v>
      </c>
      <c r="B88" s="2">
        <v>2</v>
      </c>
      <c r="C88" s="94" t="s">
        <v>128</v>
      </c>
      <c r="D88" s="10"/>
    </row>
    <row r="89" spans="1:9" x14ac:dyDescent="0.25">
      <c r="A89" s="91" t="s">
        <v>42</v>
      </c>
      <c r="B89" s="2">
        <v>2</v>
      </c>
      <c r="C89" s="94" t="s">
        <v>129</v>
      </c>
      <c r="D89" s="10"/>
    </row>
    <row r="90" spans="1:9" ht="27" x14ac:dyDescent="0.25">
      <c r="A90" s="91" t="s">
        <v>130</v>
      </c>
      <c r="B90" s="2">
        <v>2</v>
      </c>
      <c r="C90" s="94" t="s">
        <v>131</v>
      </c>
      <c r="D90" s="10"/>
    </row>
    <row r="91" spans="1:9" ht="27" x14ac:dyDescent="0.25">
      <c r="A91" s="91" t="s">
        <v>58</v>
      </c>
      <c r="B91" s="2">
        <v>4</v>
      </c>
      <c r="C91" s="94" t="s">
        <v>133</v>
      </c>
      <c r="D91" s="10"/>
    </row>
    <row r="92" spans="1:9" ht="27" x14ac:dyDescent="0.25">
      <c r="A92" s="91" t="s">
        <v>58</v>
      </c>
      <c r="B92" s="2">
        <v>8</v>
      </c>
      <c r="C92" s="94" t="s">
        <v>134</v>
      </c>
      <c r="D92" s="10"/>
    </row>
    <row r="93" spans="1:9" ht="27" x14ac:dyDescent="0.25">
      <c r="A93" s="91" t="s">
        <v>58</v>
      </c>
      <c r="B93" s="2">
        <v>2</v>
      </c>
      <c r="C93" s="94" t="s">
        <v>135</v>
      </c>
      <c r="D93" s="10"/>
    </row>
    <row r="94" spans="1:9" ht="14.25" thickBot="1" x14ac:dyDescent="0.3">
      <c r="A94" s="51"/>
      <c r="B94" s="51"/>
      <c r="C94" s="52"/>
      <c r="D94" s="52"/>
    </row>
    <row r="95" spans="1:9" ht="14.25" thickBot="1" x14ac:dyDescent="0.3">
      <c r="A95" s="109" t="s">
        <v>136</v>
      </c>
      <c r="B95" s="101"/>
      <c r="C95" s="103"/>
      <c r="D95" s="103"/>
    </row>
    <row r="96" spans="1:9" x14ac:dyDescent="0.25">
      <c r="A96" s="114" t="s">
        <v>85</v>
      </c>
      <c r="B96" s="97">
        <v>1</v>
      </c>
      <c r="C96" s="98" t="s">
        <v>137</v>
      </c>
      <c r="D96" s="99"/>
    </row>
    <row r="97" spans="1:4" x14ac:dyDescent="0.25">
      <c r="A97" s="106" t="s">
        <v>158</v>
      </c>
      <c r="B97" s="51">
        <v>1</v>
      </c>
      <c r="C97" s="113" t="s">
        <v>138</v>
      </c>
      <c r="D97" s="52"/>
    </row>
    <row r="98" spans="1:4" ht="27" x14ac:dyDescent="0.25">
      <c r="A98" s="91" t="s">
        <v>58</v>
      </c>
      <c r="B98" s="51">
        <v>3</v>
      </c>
      <c r="C98" s="94" t="s">
        <v>135</v>
      </c>
      <c r="D98" s="52"/>
    </row>
    <row r="99" spans="1:4" ht="27" x14ac:dyDescent="0.25">
      <c r="A99" s="91" t="s">
        <v>58</v>
      </c>
      <c r="B99" s="51">
        <v>1</v>
      </c>
      <c r="C99" s="113" t="s">
        <v>139</v>
      </c>
      <c r="D99" s="52"/>
    </row>
    <row r="100" spans="1:4" ht="27" x14ac:dyDescent="0.25">
      <c r="A100" s="91" t="s">
        <v>58</v>
      </c>
      <c r="B100" s="51">
        <v>2</v>
      </c>
      <c r="C100" s="113" t="s">
        <v>141</v>
      </c>
      <c r="D100" s="52"/>
    </row>
    <row r="101" spans="1:4" ht="27" x14ac:dyDescent="0.25">
      <c r="A101" s="91" t="s">
        <v>58</v>
      </c>
      <c r="B101" s="51">
        <v>2</v>
      </c>
      <c r="C101" s="94" t="s">
        <v>140</v>
      </c>
      <c r="D101" s="52"/>
    </row>
    <row r="102" spans="1:4" ht="27" x14ac:dyDescent="0.25">
      <c r="A102" s="106" t="s">
        <v>142</v>
      </c>
      <c r="B102" s="51">
        <v>2</v>
      </c>
      <c r="C102" s="113" t="s">
        <v>153</v>
      </c>
      <c r="D102" s="52"/>
    </row>
    <row r="103" spans="1:4" x14ac:dyDescent="0.25">
      <c r="A103" s="106" t="s">
        <v>42</v>
      </c>
      <c r="B103" s="51">
        <v>4</v>
      </c>
      <c r="C103" s="119" t="s">
        <v>166</v>
      </c>
      <c r="D103" s="52"/>
    </row>
    <row r="104" spans="1:4" x14ac:dyDescent="0.25">
      <c r="A104" s="106" t="s">
        <v>158</v>
      </c>
      <c r="B104" s="51">
        <v>2</v>
      </c>
      <c r="C104" s="113" t="s">
        <v>144</v>
      </c>
      <c r="D104" s="52"/>
    </row>
    <row r="105" spans="1:4" ht="27" x14ac:dyDescent="0.25">
      <c r="A105" s="106" t="s">
        <v>40</v>
      </c>
      <c r="B105" s="51">
        <v>2</v>
      </c>
      <c r="C105" s="113" t="s">
        <v>145</v>
      </c>
      <c r="D105" s="52"/>
    </row>
    <row r="106" spans="1:4" x14ac:dyDescent="0.25">
      <c r="A106" s="106" t="s">
        <v>40</v>
      </c>
      <c r="B106" s="51">
        <v>1</v>
      </c>
      <c r="C106" s="113" t="s">
        <v>146</v>
      </c>
      <c r="D106" s="52"/>
    </row>
    <row r="107" spans="1:4" x14ac:dyDescent="0.25">
      <c r="A107" s="106" t="s">
        <v>158</v>
      </c>
      <c r="B107" s="51">
        <v>3</v>
      </c>
      <c r="C107" s="113" t="s">
        <v>161</v>
      </c>
      <c r="D107" s="52"/>
    </row>
    <row r="108" spans="1:4" ht="14.25" thickBot="1" x14ac:dyDescent="0.3">
      <c r="A108" s="51"/>
      <c r="B108" s="51"/>
      <c r="C108" s="52"/>
      <c r="D108" s="52"/>
    </row>
    <row r="109" spans="1:4" ht="14.25" thickBot="1" x14ac:dyDescent="0.3">
      <c r="A109" s="109" t="s">
        <v>147</v>
      </c>
      <c r="B109" s="109"/>
      <c r="C109" s="110"/>
      <c r="D109" s="110"/>
    </row>
    <row r="110" spans="1:4" ht="27" x14ac:dyDescent="0.25">
      <c r="A110" s="111" t="s">
        <v>41</v>
      </c>
      <c r="B110" s="107">
        <v>1</v>
      </c>
      <c r="C110" s="112" t="s">
        <v>148</v>
      </c>
      <c r="D110" s="108"/>
    </row>
    <row r="111" spans="1:4" ht="27" x14ac:dyDescent="0.25">
      <c r="A111" s="106" t="s">
        <v>40</v>
      </c>
      <c r="B111" s="51">
        <v>1</v>
      </c>
      <c r="C111" s="113" t="s">
        <v>149</v>
      </c>
      <c r="D111" s="52"/>
    </row>
    <row r="112" spans="1:4" ht="27" x14ac:dyDescent="0.25">
      <c r="A112" s="106" t="s">
        <v>83</v>
      </c>
      <c r="B112" s="51">
        <v>5</v>
      </c>
      <c r="C112" s="113" t="s">
        <v>150</v>
      </c>
      <c r="D112" s="52"/>
    </row>
    <row r="113" spans="1:4" x14ac:dyDescent="0.25">
      <c r="A113" s="106" t="s">
        <v>143</v>
      </c>
      <c r="B113" s="51">
        <v>3</v>
      </c>
      <c r="C113" s="113" t="s">
        <v>151</v>
      </c>
      <c r="D113" s="52"/>
    </row>
    <row r="114" spans="1:4" ht="27" x14ac:dyDescent="0.25">
      <c r="A114" s="106" t="s">
        <v>142</v>
      </c>
      <c r="B114" s="51">
        <v>1</v>
      </c>
      <c r="C114" s="113" t="s">
        <v>152</v>
      </c>
      <c r="D114" s="52"/>
    </row>
    <row r="115" spans="1:4" ht="27" x14ac:dyDescent="0.25">
      <c r="A115" s="106" t="s">
        <v>41</v>
      </c>
      <c r="B115" s="51">
        <v>1</v>
      </c>
      <c r="C115" s="52" t="s">
        <v>148</v>
      </c>
      <c r="D115" s="52"/>
    </row>
    <row r="116" spans="1:4" ht="27" x14ac:dyDescent="0.25">
      <c r="A116" s="106" t="s">
        <v>158</v>
      </c>
      <c r="B116" s="51">
        <v>3</v>
      </c>
      <c r="C116" s="113" t="s">
        <v>154</v>
      </c>
      <c r="D116" s="52"/>
    </row>
    <row r="117" spans="1:4" x14ac:dyDescent="0.25">
      <c r="A117" s="106" t="s">
        <v>158</v>
      </c>
      <c r="B117" s="51">
        <v>3</v>
      </c>
      <c r="C117" s="113" t="s">
        <v>162</v>
      </c>
      <c r="D117" s="52"/>
    </row>
    <row r="118" spans="1:4" ht="27" x14ac:dyDescent="0.25">
      <c r="A118" s="106" t="s">
        <v>58</v>
      </c>
      <c r="B118" s="51">
        <v>2</v>
      </c>
      <c r="C118" s="113" t="s">
        <v>163</v>
      </c>
      <c r="D118" s="52"/>
    </row>
    <row r="119" spans="1:4" ht="27.75" thickBot="1" x14ac:dyDescent="0.3">
      <c r="A119" s="51" t="s">
        <v>43</v>
      </c>
      <c r="B119" s="51">
        <v>4</v>
      </c>
      <c r="C119" s="113" t="s">
        <v>165</v>
      </c>
      <c r="D119" s="52"/>
    </row>
    <row r="120" spans="1:4" ht="14.25" thickBot="1" x14ac:dyDescent="0.3">
      <c r="A120" s="48" t="s">
        <v>22</v>
      </c>
      <c r="B120" s="48">
        <f>SUM(B85:B119)</f>
        <v>72</v>
      </c>
      <c r="C120" s="88" t="s">
        <v>119</v>
      </c>
      <c r="D120" s="49"/>
    </row>
    <row r="121" spans="1:4" ht="15" thickBot="1" x14ac:dyDescent="0.35">
      <c r="A121" s="50"/>
      <c r="B121" s="50"/>
      <c r="C121" s="50"/>
      <c r="D121" s="50"/>
    </row>
    <row r="122" spans="1:4" ht="18.75" thickBot="1" x14ac:dyDescent="0.3">
      <c r="A122" s="43" t="s">
        <v>14</v>
      </c>
      <c r="B122" s="44">
        <v>4</v>
      </c>
      <c r="C122" s="45" t="s">
        <v>23</v>
      </c>
      <c r="D122" s="54">
        <f>$D$83+7</f>
        <v>45831</v>
      </c>
    </row>
    <row r="123" spans="1:4" ht="27.75" thickBot="1" x14ac:dyDescent="0.3">
      <c r="A123" s="46" t="s">
        <v>3</v>
      </c>
      <c r="B123" s="47" t="s">
        <v>15</v>
      </c>
      <c r="C123" s="46" t="s">
        <v>7</v>
      </c>
      <c r="D123" s="46" t="s">
        <v>13</v>
      </c>
    </row>
    <row r="124" spans="1:4" x14ac:dyDescent="0.25">
      <c r="A124" s="5"/>
      <c r="B124" s="4"/>
      <c r="C124" s="9"/>
      <c r="D124" s="9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2"/>
      <c r="B133" s="2"/>
      <c r="C133" s="10"/>
      <c r="D133" s="10"/>
    </row>
    <row r="134" spans="1:4" x14ac:dyDescent="0.25">
      <c r="A134" s="2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51"/>
      <c r="B136" s="51"/>
      <c r="C136" s="52"/>
      <c r="D136" s="52"/>
    </row>
    <row r="137" spans="1:4" x14ac:dyDescent="0.25">
      <c r="A137" s="51"/>
      <c r="B137" s="51"/>
      <c r="C137" s="52"/>
      <c r="D137" s="52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48" t="s">
        <v>22</v>
      </c>
      <c r="B139" s="48">
        <f>SUM(B124:B138)</f>
        <v>0</v>
      </c>
      <c r="C139" s="88" t="s">
        <v>118</v>
      </c>
      <c r="D139" s="49"/>
    </row>
    <row r="140" spans="1:4" ht="14.25" x14ac:dyDescent="0.3">
      <c r="A140" s="50"/>
      <c r="B140" s="50"/>
      <c r="C140" s="50"/>
      <c r="D140" s="50"/>
    </row>
    <row r="141" spans="1:4" x14ac:dyDescent="0.25">
      <c r="A141" s="89" t="s">
        <v>28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52:F80 B3:B42 B124:B138 B47:B64 B66:B80 B85:B119" xr:uid="{B4DF0DEC-107F-4FD7-B572-55203F0C074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43 B81 B120 B139" xr:uid="{1F3BC17A-E858-4A3A-900D-4084E53A024B}">
      <formula1>0</formula1>
      <formula2>NbPerWeek * NbQuartPer</formula2>
    </dataValidation>
    <dataValidation type="list" allowBlank="1" showInputMessage="1" showErrorMessage="1" sqref="A47:A80 A124:A138 A3 B65 A5:A42 A85:A119" xr:uid="{ACF79A6D-4B0F-453E-AFA0-BEFBF28754EA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Benjamin Taverney</dc:creator>
  <cp:lastModifiedBy>Benjamin Taverney</cp:lastModifiedBy>
  <cp:lastPrinted>2013-08-29T11:33:15Z</cp:lastPrinted>
  <dcterms:created xsi:type="dcterms:W3CDTF">1996-10-21T11:03:58Z</dcterms:created>
  <dcterms:modified xsi:type="dcterms:W3CDTF">2025-06-23T07:10:33Z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