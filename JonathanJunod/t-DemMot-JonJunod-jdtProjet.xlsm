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40boh\Documents\GitHub\2025-DemoMot-WebDev\"/>
    </mc:Choice>
  </mc:AlternateContent>
  <xr:revisionPtr revIDLastSave="0" documentId="13_ncr:1_{BFB95B51-D0B3-4277-89CB-076A7DA2222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8" r:id="rId7"/>
  </sheets>
  <definedNames>
    <definedName name="datDateBegin">Donnees!$C$9</definedName>
    <definedName name="ListTasks">#REF!</definedName>
    <definedName name="lstTasks">Donnees!$C$22:$C$45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JNLTRAV!$A$1:$D$26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5" i="158" l="1"/>
  <c r="B41" i="158"/>
  <c r="B27" i="158"/>
  <c r="B13" i="158"/>
  <c r="D1" i="155"/>
  <c r="D27" i="155" s="1"/>
  <c r="D46" i="155" s="1"/>
  <c r="D65" i="155" s="1"/>
  <c r="B82" i="155"/>
  <c r="B63" i="155"/>
  <c r="B44" i="155"/>
  <c r="B25" i="155"/>
  <c r="B18" i="154"/>
  <c r="B13" i="11" l="1"/>
</calcChain>
</file>

<file path=xl/sharedStrings.xml><?xml version="1.0" encoding="utf-8"?>
<sst xmlns="http://schemas.openxmlformats.org/spreadsheetml/2006/main" count="212" uniqueCount="94">
  <si>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</si>
  <si>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</si>
  <si>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</si>
  <si>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</si>
  <si>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</si>
  <si>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</si>
  <si>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</si>
  <si>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</si>
  <si>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</si>
  <si>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</si>
  <si>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</si>
  <si>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</si>
  <si>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</si>
  <si>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</si>
  <si>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</si>
  <si>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</si>
  <si>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</si>
  <si>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</si>
  <si>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</si>
  <si>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</si>
  <si>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</si>
  <si>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</si>
  <si>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</si>
  <si>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</si>
  <si>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Démonstration de Motivation</t>
  </si>
  <si>
    <t>Jonathan Junod</t>
  </si>
  <si>
    <t>Min1B</t>
  </si>
  <si>
    <t>ETML-Vennes</t>
  </si>
  <si>
    <t>Rédaction du CdC</t>
  </si>
  <si>
    <t>Coder en html</t>
  </si>
  <si>
    <t>Coder en css</t>
  </si>
  <si>
    <t>Planifier le travail</t>
  </si>
  <si>
    <t>Créer la maquette</t>
  </si>
  <si>
    <t>Recherches sur le web</t>
  </si>
  <si>
    <t>Gérer le GitHub</t>
  </si>
  <si>
    <t>Max. 84</t>
  </si>
  <si>
    <t>STOP</t>
  </si>
  <si>
    <t>mise en place du contexte du projet, explications à propos du travail attendu</t>
  </si>
  <si>
    <t>début de la rédaction et envoi du 1er essai</t>
  </si>
  <si>
    <t>Mise en place du JDT</t>
  </si>
  <si>
    <t>mise en place du jdt</t>
  </si>
  <si>
    <t xml:space="preserve">recherches sur la faisabilité du projet et adaptation du cdc </t>
  </si>
  <si>
    <t>lundi</t>
  </si>
  <si>
    <t>refaire tout le jdt, se battre avec pour les macros</t>
  </si>
  <si>
    <t>Explications</t>
  </si>
  <si>
    <t>remarques à propos du CdC envoyé</t>
  </si>
  <si>
    <t>Aider un collègue</t>
  </si>
  <si>
    <t>aider avec le modèle de jdt et les macros qui ne s'activent pas</t>
  </si>
  <si>
    <t>mettre le CdC à jour selon les demandes précédement ajoutées</t>
  </si>
  <si>
    <t>création du repo Github et invitation des membres</t>
  </si>
  <si>
    <t>https://github.com/Jonathan150408/2025-DemoMot-WebDev</t>
  </si>
  <si>
    <t>Max. 69</t>
  </si>
  <si>
    <t>Analyser le site de base</t>
  </si>
  <si>
    <t>début du projet, mise en place. Explications concernant le déroulement des 4 prochaines semaines, explications des attentes</t>
  </si>
  <si>
    <t>écrire le CdC</t>
  </si>
  <si>
    <t>adapter le modèl de jdt et le remplir</t>
  </si>
  <si>
    <t>créer le repo, le mettre à jour (potentiellement gérer les erreurs)</t>
  </si>
  <si>
    <t>créer une planification</t>
  </si>
  <si>
    <t>faire une maquette du site, toutes les pages</t>
  </si>
  <si>
    <t>commencer le html</t>
  </si>
  <si>
    <t>je suis parfois sollicité en classe pour aider</t>
  </si>
  <si>
    <t>regarder le site, sortir les éléments qui reviennent afin d'optimiser le futur css</t>
  </si>
  <si>
    <t>push request + potentiels problèmes (&lt;-- ça sent le vécu)</t>
  </si>
  <si>
    <t>finir le html restant, appliquer les trouvailles du web</t>
  </si>
  <si>
    <t>trouver comment remplir des champs d'un formulaire selon le lien cliqué</t>
  </si>
  <si>
    <t>trouver les structures css qui reviennent</t>
  </si>
  <si>
    <t>continuer le css</t>
  </si>
  <si>
    <t>commencer le css, focus sur le css général</t>
  </si>
  <si>
    <t>trouver des façons de rendre le site plus attrayant</t>
  </si>
  <si>
    <t>je suis parfois sollicité en classe pour aider mes collègues</t>
  </si>
  <si>
    <t>comprendre l'intention du créateur et faire en sorte que mon site y ressemble</t>
  </si>
  <si>
    <t>je pense qu'on aura droit à des conseils pour le projet/remarques sur mon travail</t>
  </si>
  <si>
    <t>finitions du css et du responsive, optimisation du css</t>
  </si>
  <si>
    <t>push request + créer une version définitive</t>
  </si>
  <si>
    <t>aider mes collègues et trouver de potentielles idées pour le site</t>
  </si>
  <si>
    <t>comparer avec le site de base</t>
  </si>
  <si>
    <t>Vérification</t>
  </si>
  <si>
    <t>faire vérifier le site par l'enseignant et des camarades volontaires qui ont le temps</t>
  </si>
  <si>
    <t>https://www.guillomefe.fr/</t>
  </si>
  <si>
    <t>https://www.guillomefe.fr</t>
  </si>
  <si>
    <t>checker le CdC</t>
  </si>
  <si>
    <t>vérifier le CdC fournit et adapter vers sa version finale</t>
  </si>
  <si>
    <t>aider un collègue à créer un repo git</t>
  </si>
  <si>
    <t>planifier mon emplois du temps pour les 4 semaines à venir</t>
  </si>
  <si>
    <t>création de la maquette sur papier</t>
  </si>
  <si>
    <t>mardi</t>
  </si>
  <si>
    <t>faire un points de situation afin de me focaliser le l'essentiel</t>
  </si>
  <si>
    <t>adapter le html selon les besoins</t>
  </si>
  <si>
    <t>analyse de la structure de sites populaires afin d'être "à la mode"</t>
  </si>
  <si>
    <t>faire une analyse approfondie afin de grouper les pages ayant le même modèle, fusionner celles qui n'ont pas assez de contenu et supprimer celle qui sont de trop</t>
  </si>
  <si>
    <t>refaire la maquette en se basant sur l'analyse précédente</t>
  </si>
  <si>
    <t>faire valider la maquette à l'enseignant, trop technique il faudrait que ce soit plus visuel</t>
  </si>
  <si>
    <t>maquette.jfif</t>
  </si>
  <si>
    <t>commencer le html, créer les 8 pages et réalisation de header + footer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</si>
</sst>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0"/>
      <name val="Century Gothic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7" fillId="0" borderId="1" xfId="0" applyFont="1" applyBorder="1" applyAlignment="1" applyProtection="1">
      <alignment horizontal="left" vertical="center" wrapText="1"/>
      <protection locked="0"/>
    </xf>
    <xf numFmtId="0" fontId="17" fillId="0" borderId="2" xfId="0" applyFont="1" applyBorder="1" applyAlignment="1" applyProtection="1">
      <alignment horizontal="left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14" fontId="0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14" fontId="0" fillId="0" borderId="33" xfId="1" applyNumberFormat="1" applyFont="1" applyFill="1" applyBorder="1" applyAlignment="1" applyProtection="1">
      <alignment horizontal="center" vertical="center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" fillId="0" borderId="0" xfId="1" applyAlignment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eduvaud.sharepoint.com/:i:/r/sites/ETML_INF-GRP1D-24-25_Teams/Documents%20partages/DemoMot-ABS-GCR/CDC/Junod%20Jonathan/maquette.jfif?csf=1&amp;web=1&amp;e=th1MXi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www.guillomefe.fr/" TargetMode="External"/><Relationship Id="rId1" Type="http://schemas.openxmlformats.org/officeDocument/2006/relationships/hyperlink" Target="https://github.com/Jonathan150408/2025-DemoMot-WebDev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45810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45833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02" t="s">
        <v>19</v>
      </c>
      <c r="C19" s="10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2" t="s">
        <v>44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2" t="s">
        <v>39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2" t="s">
        <v>34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29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30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1" t="s">
        <v>33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46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76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04" t="s">
        <v>21</v>
      </c>
      <c r="C3" s="16">
        <v>0</v>
      </c>
    </row>
    <row r="4" spans="1:4" ht="19.5" customHeight="1" x14ac:dyDescent="0.25">
      <c r="A4" s="19"/>
      <c r="B4" s="10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0F155-BBCC-4F51-87BD-A97330C37834}">
  <sheetPr codeName="Feuil9"/>
  <dimension ref="A1:I84"/>
  <sheetViews>
    <sheetView tabSelected="1" workbookViewId="0">
      <selection activeCell="C22" sqref="C2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45810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14.25" thickBot="1" x14ac:dyDescent="0.3">
      <c r="A3" s="94" t="s">
        <v>42</v>
      </c>
      <c r="B3" s="2"/>
      <c r="C3" s="10"/>
      <c r="D3" s="10"/>
    </row>
    <row r="4" spans="1:4" s="53" customFormat="1" x14ac:dyDescent="0.25">
      <c r="A4" s="95" t="s">
        <v>44</v>
      </c>
      <c r="B4" s="4">
        <v>2</v>
      </c>
      <c r="C4" s="90" t="s">
        <v>37</v>
      </c>
      <c r="D4" s="9"/>
    </row>
    <row r="5" spans="1:4" s="53" customFormat="1" x14ac:dyDescent="0.25">
      <c r="A5" s="93" t="s">
        <v>39</v>
      </c>
      <c r="B5" s="2">
        <v>1</v>
      </c>
      <c r="C5" s="91" t="s">
        <v>40</v>
      </c>
      <c r="D5" s="10"/>
    </row>
    <row r="6" spans="1:4" s="53" customFormat="1" x14ac:dyDescent="0.25">
      <c r="A6" s="1" t="s">
        <v>28</v>
      </c>
      <c r="B6" s="2">
        <v>1</v>
      </c>
      <c r="C6" s="92" t="s">
        <v>38</v>
      </c>
      <c r="D6" s="10"/>
    </row>
    <row r="7" spans="1:4" s="53" customFormat="1" ht="27" x14ac:dyDescent="0.25">
      <c r="A7" s="1" t="s">
        <v>33</v>
      </c>
      <c r="B7" s="2">
        <v>2</v>
      </c>
      <c r="C7" s="91" t="s">
        <v>41</v>
      </c>
      <c r="D7" s="96"/>
    </row>
    <row r="8" spans="1:4" s="53" customFormat="1" x14ac:dyDescent="0.25">
      <c r="A8" s="93" t="s">
        <v>39</v>
      </c>
      <c r="B8" s="2">
        <v>3</v>
      </c>
      <c r="C8" s="92" t="s">
        <v>43</v>
      </c>
      <c r="D8" s="10"/>
    </row>
    <row r="9" spans="1:4" s="53" customFormat="1" x14ac:dyDescent="0.25">
      <c r="A9" s="93" t="s">
        <v>44</v>
      </c>
      <c r="B9" s="2">
        <v>1</v>
      </c>
      <c r="C9" s="92" t="s">
        <v>45</v>
      </c>
      <c r="D9" s="10"/>
    </row>
    <row r="10" spans="1:4" s="53" customFormat="1" x14ac:dyDescent="0.25">
      <c r="A10" s="1" t="s">
        <v>46</v>
      </c>
      <c r="B10" s="2">
        <v>1</v>
      </c>
      <c r="C10" s="92" t="s">
        <v>47</v>
      </c>
      <c r="D10" s="10"/>
    </row>
    <row r="11" spans="1:4" s="53" customFormat="1" x14ac:dyDescent="0.25">
      <c r="A11" s="93" t="s">
        <v>28</v>
      </c>
      <c r="B11" s="2">
        <v>1</v>
      </c>
      <c r="C11" s="92" t="s">
        <v>48</v>
      </c>
      <c r="D11" s="10"/>
    </row>
    <row r="12" spans="1:4" s="53" customFormat="1" ht="25.5" x14ac:dyDescent="0.25">
      <c r="A12" s="1" t="s">
        <v>34</v>
      </c>
      <c r="B12" s="2">
        <v>1</v>
      </c>
      <c r="C12" s="92" t="s">
        <v>49</v>
      </c>
      <c r="D12" s="96" t="s">
        <v>50</v>
      </c>
    </row>
    <row r="13" spans="1:4" s="53" customFormat="1" x14ac:dyDescent="0.25">
      <c r="A13" s="2" t="s">
        <v>31</v>
      </c>
      <c r="B13" s="2">
        <v>4</v>
      </c>
      <c r="C13" s="92" t="s">
        <v>83</v>
      </c>
      <c r="D13" s="10"/>
    </row>
    <row r="14" spans="1:4" s="53" customFormat="1" x14ac:dyDescent="0.25">
      <c r="A14" s="101" t="s">
        <v>46</v>
      </c>
      <c r="B14" s="2">
        <v>1</v>
      </c>
      <c r="C14" s="92" t="s">
        <v>82</v>
      </c>
      <c r="D14" s="10"/>
    </row>
    <row r="15" spans="1:4" s="53" customFormat="1" x14ac:dyDescent="0.25">
      <c r="A15" s="2" t="s">
        <v>76</v>
      </c>
      <c r="B15" s="2">
        <v>1</v>
      </c>
      <c r="C15" s="92" t="s">
        <v>81</v>
      </c>
      <c r="D15" s="10"/>
    </row>
    <row r="16" spans="1:4" s="53" customFormat="1" x14ac:dyDescent="0.25">
      <c r="A16" s="51" t="s">
        <v>32</v>
      </c>
      <c r="B16" s="51">
        <v>5</v>
      </c>
      <c r="C16" s="100" t="s">
        <v>84</v>
      </c>
      <c r="D16" s="52"/>
    </row>
    <row r="17" spans="1:9" s="53" customFormat="1" x14ac:dyDescent="0.25">
      <c r="A17" s="94" t="s">
        <v>85</v>
      </c>
      <c r="B17" s="2"/>
      <c r="C17" s="10"/>
      <c r="D17" s="10"/>
    </row>
    <row r="18" spans="1:9" s="53" customFormat="1" ht="27" x14ac:dyDescent="0.25">
      <c r="A18" s="106" t="s">
        <v>52</v>
      </c>
      <c r="B18" s="51">
        <v>1</v>
      </c>
      <c r="C18" s="100" t="s">
        <v>89</v>
      </c>
      <c r="D18" s="107" t="s">
        <v>79</v>
      </c>
    </row>
    <row r="19" spans="1:9" s="53" customFormat="1" x14ac:dyDescent="0.25">
      <c r="A19" s="106" t="s">
        <v>32</v>
      </c>
      <c r="B19" s="51">
        <v>5</v>
      </c>
      <c r="C19" s="100" t="s">
        <v>90</v>
      </c>
      <c r="D19" s="52"/>
    </row>
    <row r="20" spans="1:9" s="53" customFormat="1" x14ac:dyDescent="0.25">
      <c r="A20" s="106" t="s">
        <v>76</v>
      </c>
      <c r="B20" s="51">
        <v>1</v>
      </c>
      <c r="C20" s="100" t="s">
        <v>91</v>
      </c>
      <c r="D20" s="108" t="s">
        <v>92</v>
      </c>
    </row>
    <row r="21" spans="1:9" s="53" customFormat="1" x14ac:dyDescent="0.25">
      <c r="A21" s="106" t="s">
        <v>29</v>
      </c>
      <c r="B21" s="51">
        <v>2</v>
      </c>
      <c r="C21" s="100" t="s">
        <v>93</v>
      </c>
      <c r="D21" s="52"/>
    </row>
    <row r="22" spans="1:9" s="53" customFormat="1" x14ac:dyDescent="0.25">
      <c r="A22" s="106"/>
      <c r="B22" s="51"/>
      <c r="C22" s="52"/>
      <c r="D22" s="52"/>
    </row>
    <row r="23" spans="1:9" s="53" customFormat="1" x14ac:dyDescent="0.25">
      <c r="A23" s="106"/>
      <c r="B23" s="51"/>
      <c r="C23" s="52"/>
      <c r="D23" s="52"/>
    </row>
    <row r="24" spans="1:9" s="53" customFormat="1" ht="14.25" thickBot="1" x14ac:dyDescent="0.3">
      <c r="A24" s="3"/>
      <c r="B24" s="3"/>
      <c r="C24" s="11"/>
      <c r="D24" s="11"/>
    </row>
    <row r="25" spans="1:9" ht="14.25" thickBot="1" x14ac:dyDescent="0.3">
      <c r="A25" s="48" t="s">
        <v>22</v>
      </c>
      <c r="B25" s="48">
        <f>SUM(B4:B24)</f>
        <v>33</v>
      </c>
      <c r="C25" s="88" t="s">
        <v>35</v>
      </c>
      <c r="D25" s="49"/>
    </row>
    <row r="26" spans="1:9" ht="15" thickBot="1" x14ac:dyDescent="0.35">
      <c r="A26" s="50"/>
      <c r="B26" s="50"/>
      <c r="C26" s="50"/>
      <c r="D26" s="50"/>
    </row>
    <row r="27" spans="1:9" ht="18.75" thickBot="1" x14ac:dyDescent="0.3">
      <c r="A27" s="43" t="s">
        <v>14</v>
      </c>
      <c r="B27" s="44">
        <v>2</v>
      </c>
      <c r="C27" s="45" t="s">
        <v>23</v>
      </c>
      <c r="D27" s="54">
        <f>$D$1+7</f>
        <v>45817</v>
      </c>
    </row>
    <row r="28" spans="1:9" ht="27.75" thickBot="1" x14ac:dyDescent="0.3">
      <c r="A28" s="46" t="s">
        <v>3</v>
      </c>
      <c r="B28" s="47" t="s">
        <v>15</v>
      </c>
      <c r="C28" s="46" t="s">
        <v>7</v>
      </c>
      <c r="D28" s="46" t="s">
        <v>13</v>
      </c>
    </row>
    <row r="29" spans="1:9" x14ac:dyDescent="0.25">
      <c r="A29" s="5"/>
      <c r="B29" s="4"/>
      <c r="C29" s="9"/>
      <c r="D29" s="9"/>
    </row>
    <row r="30" spans="1:9" x14ac:dyDescent="0.25">
      <c r="A30" s="1"/>
      <c r="B30" s="2"/>
      <c r="C30" s="10"/>
      <c r="D30" s="10"/>
    </row>
    <row r="31" spans="1:9" x14ac:dyDescent="0.25">
      <c r="A31" s="1"/>
      <c r="B31" s="2"/>
      <c r="C31" s="10"/>
      <c r="D31" s="10"/>
      <c r="E31" s="20"/>
      <c r="F31" s="20"/>
      <c r="G31" s="20"/>
      <c r="H31" s="20"/>
      <c r="I31" s="20"/>
    </row>
    <row r="32" spans="1:9" ht="12.75" customHeight="1" x14ac:dyDescent="0.25">
      <c r="A32" s="1"/>
      <c r="B32" s="2"/>
      <c r="C32" s="10"/>
      <c r="D32" s="10"/>
      <c r="E32" s="20"/>
      <c r="F32" s="32"/>
      <c r="G32" s="33"/>
      <c r="H32" s="34"/>
      <c r="I32" s="20"/>
    </row>
    <row r="33" spans="1:9" ht="15" x14ac:dyDescent="0.25">
      <c r="A33" s="1"/>
      <c r="B33" s="2"/>
      <c r="C33" s="10"/>
      <c r="D33" s="10"/>
      <c r="E33" s="20"/>
      <c r="F33" s="35"/>
      <c r="G33" s="31"/>
      <c r="H33" s="31"/>
      <c r="I33" s="20"/>
    </row>
    <row r="34" spans="1:9" x14ac:dyDescent="0.25">
      <c r="A34" s="1"/>
      <c r="B34" s="2"/>
      <c r="C34" s="10"/>
      <c r="D34" s="10"/>
      <c r="E34" s="20"/>
      <c r="F34" s="37"/>
      <c r="G34" s="38"/>
      <c r="H34" s="38"/>
      <c r="I34" s="20"/>
    </row>
    <row r="35" spans="1:9" x14ac:dyDescent="0.25">
      <c r="A35" s="1"/>
      <c r="B35" s="2"/>
      <c r="C35" s="10"/>
      <c r="D35" s="10"/>
      <c r="E35" s="20"/>
      <c r="F35" s="37"/>
      <c r="G35" s="38"/>
      <c r="H35" s="38"/>
      <c r="I35" s="20"/>
    </row>
    <row r="36" spans="1:9" x14ac:dyDescent="0.25">
      <c r="A36" s="1"/>
      <c r="B36" s="2"/>
      <c r="C36" s="10"/>
      <c r="D36" s="10"/>
      <c r="E36" s="20"/>
      <c r="F36" s="37"/>
      <c r="G36" s="38"/>
      <c r="H36" s="38"/>
      <c r="I36" s="20"/>
    </row>
    <row r="37" spans="1:9" x14ac:dyDescent="0.25">
      <c r="A37" s="1"/>
      <c r="B37" s="2"/>
      <c r="C37" s="10"/>
      <c r="D37" s="10"/>
      <c r="E37" s="20"/>
      <c r="F37" s="37"/>
      <c r="G37" s="38"/>
      <c r="H37" s="38"/>
      <c r="I37" s="20"/>
    </row>
    <row r="38" spans="1:9" x14ac:dyDescent="0.25">
      <c r="A38" s="2"/>
      <c r="B38" s="2"/>
      <c r="C38" s="10"/>
      <c r="D38" s="10"/>
      <c r="E38" s="20"/>
      <c r="F38" s="37"/>
      <c r="G38" s="38"/>
      <c r="H38" s="38"/>
      <c r="I38" s="20"/>
    </row>
    <row r="39" spans="1:9" x14ac:dyDescent="0.25">
      <c r="A39" s="2"/>
      <c r="B39" s="2"/>
      <c r="C39" s="10"/>
      <c r="D39" s="10"/>
      <c r="E39" s="20"/>
      <c r="F39" s="37"/>
      <c r="G39" s="38"/>
      <c r="H39" s="38"/>
      <c r="I39" s="20"/>
    </row>
    <row r="40" spans="1:9" x14ac:dyDescent="0.25">
      <c r="A40" s="2"/>
      <c r="B40" s="2"/>
      <c r="C40" s="10"/>
      <c r="D40" s="10"/>
      <c r="E40" s="20"/>
      <c r="F40" s="37"/>
      <c r="G40" s="38"/>
      <c r="H40" s="38"/>
      <c r="I40" s="20"/>
    </row>
    <row r="41" spans="1:9" x14ac:dyDescent="0.25">
      <c r="A41" s="51"/>
      <c r="B41" s="51"/>
      <c r="C41" s="52"/>
      <c r="D41" s="52"/>
      <c r="E41" s="20"/>
      <c r="F41" s="37"/>
      <c r="G41" s="38"/>
      <c r="H41" s="38"/>
      <c r="I41" s="20"/>
    </row>
    <row r="42" spans="1:9" x14ac:dyDescent="0.25">
      <c r="A42" s="51"/>
      <c r="B42" s="51"/>
      <c r="C42" s="52"/>
      <c r="D42" s="52"/>
      <c r="E42" s="20"/>
      <c r="F42" s="39"/>
      <c r="G42" s="40"/>
      <c r="H42" s="40"/>
      <c r="I42" s="20"/>
    </row>
    <row r="43" spans="1:9" ht="15" thickBot="1" x14ac:dyDescent="0.35">
      <c r="A43" s="3"/>
      <c r="B43" s="3"/>
      <c r="C43" s="11"/>
      <c r="D43" s="11"/>
      <c r="E43" s="20"/>
      <c r="F43" s="41"/>
      <c r="G43" s="41"/>
      <c r="H43" s="41"/>
      <c r="I43" s="20"/>
    </row>
    <row r="44" spans="1:9" ht="14.25" thickBot="1" x14ac:dyDescent="0.3">
      <c r="A44" s="48" t="s">
        <v>22</v>
      </c>
      <c r="B44" s="48">
        <f>SUM(B29:B43)</f>
        <v>0</v>
      </c>
      <c r="C44" s="88" t="s">
        <v>35</v>
      </c>
      <c r="D44" s="49"/>
      <c r="E44" s="20"/>
      <c r="F44" s="20"/>
      <c r="G44" s="20"/>
      <c r="H44" s="20"/>
      <c r="I44" s="20"/>
    </row>
    <row r="45" spans="1:9" ht="15" thickBot="1" x14ac:dyDescent="0.35">
      <c r="A45" s="50"/>
      <c r="B45" s="50"/>
      <c r="C45" s="50"/>
      <c r="D45" s="50"/>
      <c r="E45" s="20"/>
      <c r="F45" s="20"/>
      <c r="G45" s="20"/>
      <c r="H45" s="20"/>
      <c r="I45" s="20"/>
    </row>
    <row r="46" spans="1:9" ht="18.75" thickBot="1" x14ac:dyDescent="0.3">
      <c r="A46" s="43" t="s">
        <v>14</v>
      </c>
      <c r="B46" s="44">
        <v>3</v>
      </c>
      <c r="C46" s="45" t="s">
        <v>23</v>
      </c>
      <c r="D46" s="54">
        <f>$D$27+7</f>
        <v>45824</v>
      </c>
      <c r="E46" s="20"/>
      <c r="F46" s="20"/>
      <c r="G46" s="20"/>
      <c r="H46" s="20"/>
      <c r="I46" s="20"/>
    </row>
    <row r="47" spans="1:9" ht="27.75" thickBot="1" x14ac:dyDescent="0.3">
      <c r="A47" s="46" t="s">
        <v>3</v>
      </c>
      <c r="B47" s="47" t="s">
        <v>15</v>
      </c>
      <c r="C47" s="46" t="s">
        <v>7</v>
      </c>
      <c r="D47" s="46" t="s">
        <v>13</v>
      </c>
    </row>
    <row r="48" spans="1:9" x14ac:dyDescent="0.25">
      <c r="A48" s="5"/>
      <c r="B48" s="4"/>
      <c r="C48" s="9"/>
      <c r="D48" s="9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2"/>
      <c r="B57" s="2"/>
      <c r="C57" s="10"/>
      <c r="D57" s="10"/>
    </row>
    <row r="58" spans="1:4" x14ac:dyDescent="0.25">
      <c r="A58" s="2"/>
      <c r="B58" s="2"/>
      <c r="C58" s="10"/>
      <c r="D58" s="10"/>
    </row>
    <row r="59" spans="1:4" x14ac:dyDescent="0.25">
      <c r="A59" s="2"/>
      <c r="B59" s="2"/>
      <c r="C59" s="10"/>
      <c r="D59" s="10"/>
    </row>
    <row r="60" spans="1:4" x14ac:dyDescent="0.25">
      <c r="A60" s="51"/>
      <c r="B60" s="51"/>
      <c r="C60" s="52"/>
      <c r="D60" s="52"/>
    </row>
    <row r="61" spans="1:4" x14ac:dyDescent="0.25">
      <c r="A61" s="51"/>
      <c r="B61" s="51"/>
      <c r="C61" s="52"/>
      <c r="D61" s="52"/>
    </row>
    <row r="62" spans="1:4" ht="14.25" thickBot="1" x14ac:dyDescent="0.3">
      <c r="A62" s="3"/>
      <c r="B62" s="3"/>
      <c r="C62" s="11"/>
      <c r="D62" s="11"/>
    </row>
    <row r="63" spans="1:4" ht="14.25" thickBot="1" x14ac:dyDescent="0.3">
      <c r="A63" s="48" t="s">
        <v>22</v>
      </c>
      <c r="B63" s="48">
        <f>SUM(B48:B62)</f>
        <v>0</v>
      </c>
      <c r="C63" s="88" t="s">
        <v>35</v>
      </c>
      <c r="D63" s="49"/>
    </row>
    <row r="64" spans="1:4" ht="15" thickBot="1" x14ac:dyDescent="0.35">
      <c r="A64" s="50"/>
      <c r="B64" s="50"/>
      <c r="C64" s="50"/>
      <c r="D64" s="50"/>
    </row>
    <row r="65" spans="1:4" ht="18.75" thickBot="1" x14ac:dyDescent="0.3">
      <c r="A65" s="43" t="s">
        <v>14</v>
      </c>
      <c r="B65" s="44">
        <v>4</v>
      </c>
      <c r="C65" s="45" t="s">
        <v>23</v>
      </c>
      <c r="D65" s="54">
        <f>$D$46+7</f>
        <v>45831</v>
      </c>
    </row>
    <row r="66" spans="1:4" ht="27.75" thickBot="1" x14ac:dyDescent="0.3">
      <c r="A66" s="46" t="s">
        <v>3</v>
      </c>
      <c r="B66" s="47" t="s">
        <v>15</v>
      </c>
      <c r="C66" s="46" t="s">
        <v>7</v>
      </c>
      <c r="D66" s="46" t="s">
        <v>13</v>
      </c>
    </row>
    <row r="67" spans="1:4" x14ac:dyDescent="0.25">
      <c r="A67" s="5"/>
      <c r="B67" s="4"/>
      <c r="C67" s="9"/>
      <c r="D67" s="9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2"/>
      <c r="B76" s="2"/>
      <c r="C76" s="10"/>
      <c r="D76" s="10"/>
    </row>
    <row r="77" spans="1:4" x14ac:dyDescent="0.25">
      <c r="A77" s="2"/>
      <c r="B77" s="2"/>
      <c r="C77" s="10"/>
      <c r="D77" s="10"/>
    </row>
    <row r="78" spans="1:4" x14ac:dyDescent="0.25">
      <c r="A78" s="2"/>
      <c r="B78" s="2"/>
      <c r="C78" s="10"/>
      <c r="D78" s="10"/>
    </row>
    <row r="79" spans="1:4" x14ac:dyDescent="0.25">
      <c r="A79" s="51"/>
      <c r="B79" s="51"/>
      <c r="C79" s="52"/>
      <c r="D79" s="52"/>
    </row>
    <row r="80" spans="1:4" x14ac:dyDescent="0.25">
      <c r="A80" s="51"/>
      <c r="B80" s="51"/>
      <c r="C80" s="52"/>
      <c r="D80" s="52"/>
    </row>
    <row r="81" spans="1:4" ht="14.25" thickBot="1" x14ac:dyDescent="0.3">
      <c r="A81" s="3"/>
      <c r="B81" s="3"/>
      <c r="C81" s="11"/>
      <c r="D81" s="11"/>
    </row>
    <row r="82" spans="1:4" ht="14.25" thickBot="1" x14ac:dyDescent="0.3">
      <c r="A82" s="48" t="s">
        <v>22</v>
      </c>
      <c r="B82" s="48">
        <f>SUM(B67:B81)</f>
        <v>0</v>
      </c>
      <c r="C82" s="88" t="s">
        <v>35</v>
      </c>
      <c r="D82" s="49"/>
    </row>
    <row r="83" spans="1:4" ht="14.25" x14ac:dyDescent="0.3">
      <c r="A83" s="50"/>
      <c r="B83" s="50"/>
      <c r="C83" s="50"/>
      <c r="D83" s="50"/>
    </row>
    <row r="84" spans="1:4" x14ac:dyDescent="0.25">
      <c r="A84" s="89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2" xr:uid="{6E47CFFA-4244-4260-A411-D52D9E6977E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4:F41 B67:B81 B29:B43 B48:B62 B3:B24" xr:uid="{981C5BE2-88DA-44E8-9B2D-86939C53E91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5 B44 B63 B82" xr:uid="{B4E057B9-7418-4C98-B50B-9325FBBD9C66}">
      <formula1>0</formula1>
      <formula2>NbPerWeek * NbQuartPer</formula2>
    </dataValidation>
    <dataValidation type="list" allowBlank="1" showInputMessage="1" showErrorMessage="1" sqref="A67:A81 A29:A43 A48:A62 A3:A24" xr:uid="{890387DA-F7A0-43C3-98D3-D5AF022EAA0C}">
      <formula1>lstTasks</formula1>
    </dataValidation>
  </dataValidations>
  <hyperlinks>
    <hyperlink ref="D12" r:id="rId1" xr:uid="{C1D5445E-E19B-4258-921F-D71F8BE5CCA4}"/>
    <hyperlink ref="D18" r:id="rId2" xr:uid="{4EE0D5B8-EE06-41B2-9E2B-3294F19AEFB2}"/>
    <hyperlink ref="D20" r:id="rId3" display="https://eduvaud.sharepoint.com/:i:/r/sites/ETML_INF-GRP1D-24-25_Teams/Documents partages/DemoMot-ABS-GCR/CDC/Junod Jonathan/maquette.jfif?csf=1&amp;web=1&amp;e=th1MXi" xr:uid="{87F315BD-F6E9-46AD-9579-F7A6F76BF648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39937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7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D6B85-3791-43EE-8819-084D0706DB86}">
  <sheetPr codeName="Feuil5"/>
  <dimension ref="A1:I57"/>
  <sheetViews>
    <sheetView topLeftCell="A2" zoomScale="115" zoomScaleNormal="115" workbookViewId="0">
      <selection activeCell="B19" sqref="B1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95" t="s">
        <v>44</v>
      </c>
      <c r="B3" s="4">
        <v>4</v>
      </c>
      <c r="C3" s="98" t="s">
        <v>53</v>
      </c>
      <c r="D3" s="9"/>
    </row>
    <row r="4" spans="1:4" s="53" customFormat="1" x14ac:dyDescent="0.25">
      <c r="A4" s="1" t="s">
        <v>28</v>
      </c>
      <c r="B4" s="2">
        <v>4</v>
      </c>
      <c r="C4" s="92" t="s">
        <v>54</v>
      </c>
      <c r="D4" s="10"/>
    </row>
    <row r="5" spans="1:4" s="53" customFormat="1" x14ac:dyDescent="0.25">
      <c r="A5" s="1" t="s">
        <v>39</v>
      </c>
      <c r="B5" s="2">
        <v>4</v>
      </c>
      <c r="C5" s="92" t="s">
        <v>55</v>
      </c>
      <c r="D5" s="10"/>
    </row>
    <row r="6" spans="1:4" s="53" customFormat="1" x14ac:dyDescent="0.25">
      <c r="A6" s="1" t="s">
        <v>34</v>
      </c>
      <c r="B6" s="2">
        <v>6</v>
      </c>
      <c r="C6" s="92" t="s">
        <v>56</v>
      </c>
      <c r="D6" s="10"/>
    </row>
    <row r="7" spans="1:4" s="53" customFormat="1" x14ac:dyDescent="0.25">
      <c r="A7" s="1" t="s">
        <v>31</v>
      </c>
      <c r="B7" s="2">
        <v>6</v>
      </c>
      <c r="C7" s="92" t="s">
        <v>57</v>
      </c>
      <c r="D7" s="10"/>
    </row>
    <row r="8" spans="1:4" s="53" customFormat="1" x14ac:dyDescent="0.25">
      <c r="A8" s="1" t="s">
        <v>32</v>
      </c>
      <c r="B8" s="2">
        <v>6</v>
      </c>
      <c r="C8" s="92" t="s">
        <v>58</v>
      </c>
      <c r="D8" s="10"/>
    </row>
    <row r="9" spans="1:4" s="53" customFormat="1" x14ac:dyDescent="0.25">
      <c r="A9" s="2" t="s">
        <v>29</v>
      </c>
      <c r="B9" s="2">
        <v>28</v>
      </c>
      <c r="C9" s="92" t="s">
        <v>59</v>
      </c>
      <c r="D9" s="10"/>
    </row>
    <row r="10" spans="1:4" s="53" customFormat="1" ht="27" x14ac:dyDescent="0.25">
      <c r="A10" s="2" t="s">
        <v>33</v>
      </c>
      <c r="B10" s="2">
        <v>6</v>
      </c>
      <c r="C10" s="92" t="s">
        <v>88</v>
      </c>
      <c r="D10" s="10"/>
    </row>
    <row r="11" spans="1:4" s="53" customFormat="1" x14ac:dyDescent="0.25">
      <c r="A11" s="2" t="s">
        <v>46</v>
      </c>
      <c r="B11" s="2">
        <v>1</v>
      </c>
      <c r="C11" s="92" t="s">
        <v>60</v>
      </c>
      <c r="D11" s="10"/>
    </row>
    <row r="12" spans="1:4" s="53" customFormat="1" ht="27.75" thickBot="1" x14ac:dyDescent="0.3">
      <c r="A12" s="1" t="s">
        <v>52</v>
      </c>
      <c r="B12" s="3">
        <v>4</v>
      </c>
      <c r="C12" s="99" t="s">
        <v>61</v>
      </c>
      <c r="D12" s="11" t="s">
        <v>78</v>
      </c>
    </row>
    <row r="13" spans="1:4" ht="14.25" thickBot="1" x14ac:dyDescent="0.3">
      <c r="A13" s="12" t="s">
        <v>22</v>
      </c>
      <c r="B13" s="12">
        <f>SUM(B3:B12)</f>
        <v>69</v>
      </c>
      <c r="C13" s="97" t="s">
        <v>51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34</v>
      </c>
      <c r="B17" s="4">
        <v>3</v>
      </c>
      <c r="C17" s="98" t="s">
        <v>62</v>
      </c>
      <c r="D17" s="9"/>
    </row>
    <row r="18" spans="1:9" x14ac:dyDescent="0.25">
      <c r="A18" s="1" t="s">
        <v>29</v>
      </c>
      <c r="B18" s="2">
        <v>20</v>
      </c>
      <c r="C18" s="92" t="s">
        <v>63</v>
      </c>
      <c r="D18" s="10"/>
    </row>
    <row r="19" spans="1:9" x14ac:dyDescent="0.25">
      <c r="A19" s="1" t="s">
        <v>30</v>
      </c>
      <c r="B19" s="2">
        <v>25</v>
      </c>
      <c r="C19" s="92" t="s">
        <v>67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46</v>
      </c>
      <c r="B20" s="2">
        <v>1</v>
      </c>
      <c r="C20" s="10" t="s">
        <v>60</v>
      </c>
      <c r="D20" s="10"/>
      <c r="E20" s="20"/>
      <c r="F20" s="32"/>
      <c r="G20" s="33"/>
      <c r="H20" s="34"/>
      <c r="I20" s="20"/>
    </row>
    <row r="21" spans="1:9" ht="27" x14ac:dyDescent="0.25">
      <c r="A21" s="1" t="s">
        <v>33</v>
      </c>
      <c r="B21" s="2">
        <v>12</v>
      </c>
      <c r="C21" s="92" t="s">
        <v>64</v>
      </c>
      <c r="D21" s="10"/>
      <c r="E21" s="20"/>
      <c r="F21" s="35"/>
      <c r="G21" s="31"/>
      <c r="H21" s="31"/>
      <c r="I21" s="20"/>
    </row>
    <row r="22" spans="1:9" x14ac:dyDescent="0.25">
      <c r="A22" s="53" t="s">
        <v>52</v>
      </c>
      <c r="B22" s="2">
        <v>8</v>
      </c>
      <c r="C22" s="92" t="s">
        <v>65</v>
      </c>
      <c r="D22" s="10" t="s">
        <v>78</v>
      </c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69</v>
      </c>
      <c r="C27" s="97" t="s">
        <v>51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34</v>
      </c>
      <c r="B31" s="4">
        <v>3</v>
      </c>
      <c r="C31" s="9" t="s">
        <v>62</v>
      </c>
      <c r="D31" s="9"/>
      <c r="E31" s="20"/>
      <c r="F31" s="41"/>
      <c r="G31" s="41"/>
      <c r="H31" s="41"/>
      <c r="I31" s="20"/>
    </row>
    <row r="32" spans="1:9" x14ac:dyDescent="0.25">
      <c r="A32" s="1" t="s">
        <v>30</v>
      </c>
      <c r="B32" s="2">
        <v>38</v>
      </c>
      <c r="C32" s="92" t="s">
        <v>66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33</v>
      </c>
      <c r="B33" s="2">
        <v>12</v>
      </c>
      <c r="C33" s="92" t="s">
        <v>68</v>
      </c>
      <c r="D33" s="10"/>
      <c r="E33" s="20"/>
      <c r="F33" s="20"/>
      <c r="G33" s="20"/>
      <c r="H33" s="20"/>
      <c r="I33" s="20"/>
    </row>
    <row r="34" spans="1:9" x14ac:dyDescent="0.25">
      <c r="A34" s="1" t="s">
        <v>46</v>
      </c>
      <c r="B34" s="2">
        <v>1</v>
      </c>
      <c r="C34" s="92" t="s">
        <v>69</v>
      </c>
      <c r="D34" s="10"/>
      <c r="E34" s="20"/>
      <c r="F34" s="20"/>
      <c r="G34" s="20"/>
      <c r="H34" s="20"/>
      <c r="I34" s="20"/>
    </row>
    <row r="35" spans="1:9" ht="27" x14ac:dyDescent="0.25">
      <c r="A35" s="1" t="s">
        <v>52</v>
      </c>
      <c r="B35" s="2">
        <v>4</v>
      </c>
      <c r="C35" s="92" t="s">
        <v>70</v>
      </c>
      <c r="D35" s="10" t="s">
        <v>78</v>
      </c>
    </row>
    <row r="36" spans="1:9" x14ac:dyDescent="0.25">
      <c r="A36" s="93" t="s">
        <v>44</v>
      </c>
      <c r="B36" s="2">
        <v>2</v>
      </c>
      <c r="C36" s="92" t="s">
        <v>71</v>
      </c>
      <c r="D36" s="10"/>
    </row>
    <row r="37" spans="1:9" x14ac:dyDescent="0.25">
      <c r="A37" s="2" t="s">
        <v>76</v>
      </c>
      <c r="B37" s="2">
        <v>4</v>
      </c>
      <c r="C37" s="92" t="s">
        <v>86</v>
      </c>
      <c r="D37" s="10"/>
    </row>
    <row r="38" spans="1:9" x14ac:dyDescent="0.25">
      <c r="A38" s="2" t="s">
        <v>29</v>
      </c>
      <c r="B38" s="2">
        <v>5</v>
      </c>
      <c r="C38" s="92" t="s">
        <v>87</v>
      </c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69</v>
      </c>
      <c r="C41" s="97" t="s">
        <v>51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6</v>
      </c>
      <c r="C45" s="98" t="s">
        <v>73</v>
      </c>
      <c r="D45" s="9"/>
    </row>
    <row r="46" spans="1:9" x14ac:dyDescent="0.25">
      <c r="A46" s="1" t="s">
        <v>30</v>
      </c>
      <c r="B46" s="2">
        <v>40</v>
      </c>
      <c r="C46" s="92" t="s">
        <v>72</v>
      </c>
      <c r="D46" s="10"/>
    </row>
    <row r="47" spans="1:9" x14ac:dyDescent="0.25">
      <c r="A47" s="1" t="s">
        <v>46</v>
      </c>
      <c r="B47" s="2">
        <v>8</v>
      </c>
      <c r="C47" s="92" t="s">
        <v>74</v>
      </c>
      <c r="D47" s="10"/>
    </row>
    <row r="48" spans="1:9" ht="27" x14ac:dyDescent="0.25">
      <c r="A48" s="1" t="s">
        <v>52</v>
      </c>
      <c r="B48" s="2">
        <v>3</v>
      </c>
      <c r="C48" s="92" t="s">
        <v>75</v>
      </c>
      <c r="D48" s="92" t="s">
        <v>79</v>
      </c>
    </row>
    <row r="49" spans="1:4" x14ac:dyDescent="0.25">
      <c r="A49" s="1" t="s">
        <v>76</v>
      </c>
      <c r="B49" s="2">
        <v>8</v>
      </c>
      <c r="C49" s="92" t="s">
        <v>77</v>
      </c>
      <c r="D49" s="10"/>
    </row>
    <row r="50" spans="1:4" x14ac:dyDescent="0.25">
      <c r="A50" s="93" t="s">
        <v>76</v>
      </c>
      <c r="B50" s="2">
        <v>4</v>
      </c>
      <c r="C50" s="92" t="s">
        <v>80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69</v>
      </c>
      <c r="C55" s="97" t="s">
        <v>51</v>
      </c>
      <c r="D55" s="13"/>
    </row>
    <row r="56" spans="1:4" ht="14.25" x14ac:dyDescent="0.3">
      <c r="A56" s="14"/>
      <c r="B56" s="14"/>
      <c r="C56" s="14"/>
      <c r="D56" s="14"/>
    </row>
    <row r="57" spans="1:4" x14ac:dyDescent="0.25">
      <c r="A57" s="89" t="s">
        <v>36</v>
      </c>
    </row>
  </sheetData>
  <sheetProtection sheet="1" objects="1" scenarios="1" insertRows="0" selectLockedCells="1"/>
  <dataValidations count="4">
    <dataValidation type="list" allowBlank="1" showInputMessage="1" showErrorMessage="1" sqref="A31:A40 A45:A54 A3:A12 A17:A21 A23:A26" xr:uid="{7CC14F92-723C-4136-9EF1-1B053CF5C8C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" xr:uid="{C4FD152F-5D8C-451D-9474-C2A42A2509F6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" xr:uid="{5D4BBB68-1745-46FD-9195-EA86407F8BE6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8AE0E0A-B646-473E-8E6A-3A0BD1E0EC9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cccc220-c6b9-4076-850d-f5e42563a57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692D16FABC7649A0E0051487714BFF" ma:contentTypeVersion="13" ma:contentTypeDescription="Crée un document." ma:contentTypeScope="" ma:versionID="8dc45c3b590f149a7dc6a874d806b900">
  <xsd:schema xmlns:xsd="http://www.w3.org/2001/XMLSchema" xmlns:xs="http://www.w3.org/2001/XMLSchema" xmlns:p="http://schemas.microsoft.com/office/2006/metadata/properties" xmlns:ns3="fcccc220-c6b9-4076-850d-f5e42563a571" xmlns:ns4="e7f151b8-51d7-4647-8ad5-935b9ffd0765" targetNamespace="http://schemas.microsoft.com/office/2006/metadata/properties" ma:root="true" ma:fieldsID="e081b3615d07fb98e5c1c38baab1f610" ns3:_="" ns4:_="">
    <xsd:import namespace="fcccc220-c6b9-4076-850d-f5e42563a571"/>
    <xsd:import namespace="e7f151b8-51d7-4647-8ad5-935b9ffd07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ccc220-c6b9-4076-850d-f5e42563a5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f151b8-51d7-4647-8ad5-935b9ffd0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dcmitype/"/>
    <ds:schemaRef ds:uri="http://purl.org/dc/elements/1.1/"/>
    <ds:schemaRef ds:uri="fcccc220-c6b9-4076-850d-f5e42563a571"/>
    <ds:schemaRef ds:uri="http://schemas.openxmlformats.org/package/2006/metadata/core-properties"/>
    <ds:schemaRef ds:uri="http://schemas.microsoft.com/office/infopath/2007/PartnerControls"/>
    <ds:schemaRef ds:uri="e7f151b8-51d7-4647-8ad5-935b9ffd076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680096-053F-4C90-86F9-E213EB3972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ccc220-c6b9-4076-850d-f5e42563a571"/>
    <ds:schemaRef ds:uri="e7f151b8-51d7-4647-8ad5-935b9ffd0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Junod</dc:creator>
  <cp:lastModifiedBy>Jonathan Junod</cp:lastModifiedBy>
  <cp:lastPrinted>2013-08-29T11:33:15Z</cp:lastPrinted>
  <dcterms:created xsi:type="dcterms:W3CDTF">1996-10-21T11:03:58Z</dcterms:created>
  <dcterms:modified xsi:type="dcterms:W3CDTF">2025-06-03T08:16:57Z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0x010100E8692D16FABC7649A0E0051487714BFF</vt:lpwstr>
  </property>
</Properties>
</file>